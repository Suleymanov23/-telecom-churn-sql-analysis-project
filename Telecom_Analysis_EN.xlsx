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Summary" sheetId="1" state="visible" r:id="rId3"/>
    <sheet name="01_City_Status" sheetId="2" state="visible" r:id="rId4"/>
    <sheet name="02_Age_Groups" sheetId="3" state="visible" r:id="rId5"/>
    <sheet name="03_Registration_Trend" sheetId="4" state="visible" r:id="rId6"/>
    <sheet name="04_Tenure_by_Status" sheetId="5" state="visible" r:id="rId7"/>
    <sheet name="05_Churn_by_Age" sheetId="6" state="visible" r:id="rId8"/>
    <sheet name="06_Status_Gender" sheetId="7" state="visible" r:id="rId9"/>
    <sheet name="07_Top10_Usage" sheetId="8" state="visible" r:id="rId10"/>
    <sheet name="08_Voice_Overage" sheetId="9" state="visible" r:id="rId11"/>
    <sheet name="09_Data_Overage" sheetId="10" state="visible" r:id="rId12"/>
    <sheet name="10_Revenue_by_Tariff" sheetId="11" state="visible" r:id="rId13"/>
    <sheet name="11_Top_Debtors" sheetId="12" state="visible" r:id="rId14"/>
    <sheet name="12_Payment_Status" sheetId="13" state="visible" r:id="rId15"/>
    <sheet name="13_CHURN_RISK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<sst xmlns="http://schemas.openxmlformats.org/spreadsheetml/2006/main" count="300" uniqueCount="176">
  <si>
    <t xml:space="preserve">TELECOM — Subscriber &amp; Churn Analytics</t>
  </si>
  <si>
    <t xml:space="preserve">Executive Summary Report · Data period: 2021–2026</t>
  </si>
  <si>
    <t xml:space="preserve">80</t>
  </si>
  <si>
    <t xml:space="preserve">25</t>
  </si>
  <si>
    <t xml:space="preserve">23,683 ₼</t>
  </si>
  <si>
    <t xml:space="preserve">Total Subscribers</t>
  </si>
  <si>
    <t xml:space="preserve">Tariff Plans</t>
  </si>
  <si>
    <t xml:space="preserve">Total Charged</t>
  </si>
  <si>
    <t xml:space="preserve">customers</t>
  </si>
  <si>
    <t xml:space="preserve">plans</t>
  </si>
  <si>
    <t xml:space="preserve">billed</t>
  </si>
  <si>
    <t xml:space="preserve">18,424 ₼</t>
  </si>
  <si>
    <t xml:space="preserve">5,260 ₼</t>
  </si>
  <si>
    <t xml:space="preserve">9</t>
  </si>
  <si>
    <t xml:space="preserve">Total Collected</t>
  </si>
  <si>
    <t xml:space="preserve">Total Debt</t>
  </si>
  <si>
    <t xml:space="preserve">Churn Risk</t>
  </si>
  <si>
    <t xml:space="preserve">78% collection</t>
  </si>
  <si>
    <t xml:space="preserve">Unpaid + Late Paid</t>
  </si>
  <si>
    <t xml:space="preserve">high-risk customers</t>
  </si>
  <si>
    <t xml:space="preserve">INSIGHT</t>
  </si>
  <si>
    <t xml:space="preserve">Of 80 subscribers, 9 are at high churn risk. Some still appear 'Active' in the system, yet they have shown no activity in the last 3 months and left their last invoice unpaid.</t>
  </si>
  <si>
    <t xml:space="preserve">RECOMMENDATION</t>
  </si>
  <si>
    <t xml:space="preserve">The company should act immediately on three fronts: (1) proactive outreach to at-risk customers, (2) an automated system to collect the 5,260 ₼ outstanding debt, (3) migrating heavy-usage customers to more suitable plans. This report provides a concrete customer list for each.</t>
  </si>
  <si>
    <t xml:space="preserve">Subscribers &amp; Status by City</t>
  </si>
  <si>
    <t xml:space="preserve">Geographic distribution (I.2)</t>
  </si>
  <si>
    <t xml:space="preserve">City</t>
  </si>
  <si>
    <t xml:space="preserve">Active</t>
  </si>
  <si>
    <t xml:space="preserve">Suspended</t>
  </si>
  <si>
    <t xml:space="preserve">Churned</t>
  </si>
  <si>
    <t xml:space="preserve">Mingachevir</t>
  </si>
  <si>
    <t xml:space="preserve">Baku</t>
  </si>
  <si>
    <t xml:space="preserve">Sumqayit</t>
  </si>
  <si>
    <t xml:space="preserve">Ganja</t>
  </si>
  <si>
    <t xml:space="preserve">Yevlakh</t>
  </si>
  <si>
    <t xml:space="preserve">Nakhchivan</t>
  </si>
  <si>
    <t xml:space="preserve">Sheki</t>
  </si>
  <si>
    <t xml:space="preserve">Lankaran</t>
  </si>
  <si>
    <t xml:space="preserve">Shirvan</t>
  </si>
  <si>
    <t xml:space="preserve">Khankendi</t>
  </si>
  <si>
    <t xml:space="preserve">Mingachevir, Baku, and Sumqayit have the most active subscribers. Ganja shows 4 suspended customers — a notably high figure that should be investigated.</t>
  </si>
  <si>
    <t xml:space="preserve">Run a dedicated investigation in Ganja: is the cause payment issues or network quality? Assign a regional team to contact local customers and launch a win-back campaign. In strong cities (Baku, Mingachevir), retain resources to protect existing loyalty.</t>
  </si>
  <si>
    <t xml:space="preserve">Age Group Distribution</t>
  </si>
  <si>
    <t xml:space="preserve">Demographic segmentation (I.3)</t>
  </si>
  <si>
    <t xml:space="preserve">Age Group</t>
  </si>
  <si>
    <t xml:space="preserve">Count</t>
  </si>
  <si>
    <t xml:space="preserve">Percent</t>
  </si>
  <si>
    <t xml:space="preserve">Youth (&lt;25)</t>
  </si>
  <si>
    <t xml:space="preserve">Middle-Aged (25-50)</t>
  </si>
  <si>
    <t xml:space="preserve">Senior (&gt;50)</t>
  </si>
  <si>
    <t xml:space="preserve">Half (50%) of the subscriber base is Middle-Aged. The Senior group is also substantial (41%), indicating a loyal segment. The Youth segment is small (9%), which represents a marketing opportunity.</t>
  </si>
  <si>
    <t xml:space="preserve">To reach the Youth segment (9%), develop social-media campaigns, student plans, and data-focused offers — this group is the loyal customer of the future. As the largest revenue source, the Middle-Aged group should receive personalized service.</t>
  </si>
  <si>
    <t xml:space="preserve">New Subscribers by Year</t>
  </si>
  <si>
    <t xml:space="preserve">Company growth dynamics (additional analysis)</t>
  </si>
  <si>
    <t xml:space="preserve">Year</t>
  </si>
  <si>
    <t xml:space="preserve">New Subscribers</t>
  </si>
  <si>
    <t xml:space="preserve">The company acquired the most new subscribers in 2021 (21), then saw a slowdown in 2023 (11), followed by recovery in 2024-2025 (16 and 18).</t>
  </si>
  <si>
    <t xml:space="preserve">Investigate the cause of the 2022-2023 decline (market competition, lack of campaigns?). The 2024-2025 recovery is positive — to sustain it, reinforce successful campaigns and increase the new-customer acquisition budget.</t>
  </si>
  <si>
    <t xml:space="preserve">Average Customer Tenure by Status</t>
  </si>
  <si>
    <t xml:space="preserve">How long customers stay with the company (additional analysis)</t>
  </si>
  <si>
    <t xml:space="preserve">Status</t>
  </si>
  <si>
    <t xml:space="preserve">Avg Tenure (years)</t>
  </si>
  <si>
    <t xml:space="preserve">Unexpected finding: Churned (3.3 yrs) and Suspended (3.5 yrs) customers have actually been with the company LONGER than Active customers (2.7 yrs).</t>
  </si>
  <si>
    <t xml:space="preserve">This means long tenure alone does not guarantee loyalty — long-standing customers also tend to leave (perhaps due to outdated tariffs or competitor offers). Recommendation: introduce loyalty rewards, periodic plan-refresh offers, and 'loyalty discounts' for long-tenure customers.</t>
  </si>
  <si>
    <t xml:space="preserve">Churn Rate by Age Group</t>
  </si>
  <si>
    <t xml:space="preserve">Which age group leaves the most (additional analysis)</t>
  </si>
  <si>
    <t xml:space="preserve">Total</t>
  </si>
  <si>
    <t xml:space="preserve">Churn %</t>
  </si>
  <si>
    <t xml:space="preserve">The Middle-Aged group churns the most (17.5%), Youth is second (14.3%), and Seniors are the most loyal — only 6.1% churn.</t>
  </si>
  <si>
    <t xml:space="preserve">Retention efforts should target the Middle-Aged group, as it is both the largest segment (40 people) and the highest churn — the biggest risk lies here. The Seniors' loyalty should be rewarded with simple, stable tariffs tailored to them.</t>
  </si>
  <si>
    <t xml:space="preserve">Customer Status &amp; Gender Distribution</t>
  </si>
  <si>
    <t xml:space="preserve">Overall base overview</t>
  </si>
  <si>
    <t xml:space="preserve">Gender</t>
  </si>
  <si>
    <t xml:space="preserve">Male</t>
  </si>
  <si>
    <t xml:space="preserve">Female</t>
  </si>
  <si>
    <t xml:space="preserve">64% are Active. However, 24% Suspended + 12% Churned means roughly one in three customers is in a problematic state. By gender, males dominate (73%).</t>
  </si>
  <si>
    <t xml:space="preserve">A 36% problematic rate is high. Suspended customers (24%) are easier to win back than Churned ones — focusing on them is more efficient. Targeted marketing could be explored to grow the female share (27%).</t>
  </si>
  <si>
    <t xml:space="preserve">Top 10 Most Active Customers</t>
  </si>
  <si>
    <t xml:space="preserve">Usage summary — talk minutes (II.4)</t>
  </si>
  <si>
    <t xml:space="preserve">Customer</t>
  </si>
  <si>
    <t xml:space="preserve">Calls</t>
  </si>
  <si>
    <t xml:space="preserve">Talk (min)</t>
  </si>
  <si>
    <t xml:space="preserve">Internet (MB)</t>
  </si>
  <si>
    <t xml:space="preserve">Nargiz Hasanov</t>
  </si>
  <si>
    <t xml:space="preserve">Vugar Garavaliyev</t>
  </si>
  <si>
    <t xml:space="preserve">Orkhan Garavaliyev</t>
  </si>
  <si>
    <t xml:space="preserve">Vugar Valiyev</t>
  </si>
  <si>
    <t xml:space="preserve">Aysel Mehdiyev</t>
  </si>
  <si>
    <t xml:space="preserve">Kamran Garavaliyev</t>
  </si>
  <si>
    <t xml:space="preserve">Elvin Muradov</t>
  </si>
  <si>
    <t xml:space="preserve">Samir Hasanov</t>
  </si>
  <si>
    <t xml:space="preserve">Nigar Karimov</t>
  </si>
  <si>
    <t xml:space="preserve">Kamran Valiyev</t>
  </si>
  <si>
    <t xml:space="preserve">The most active customers are the company's most valuable segment. They should be offered special loyalty programs and premium plans — losing them would directly impact revenue.</t>
  </si>
  <si>
    <t xml:space="preserve">Assign a personal account manager to these Top 10 customers and provide exclusive discounts and early-access offers. Checking their satisfaction periodically (survey/call) helps prevent churn.</t>
  </si>
  <si>
    <t xml:space="preserve">Customers Exceeding Voice Limit</t>
  </si>
  <si>
    <t xml:space="preserve">Exceeding free-minute allowance (II.6)</t>
  </si>
  <si>
    <t xml:space="preserve">Tariff</t>
  </si>
  <si>
    <t xml:space="preserve">Limit</t>
  </si>
  <si>
    <t xml:space="preserve">Used</t>
  </si>
  <si>
    <t xml:space="preserve">Overage (min)</t>
  </si>
  <si>
    <t xml:space="preserve">Gold Business</t>
  </si>
  <si>
    <t xml:space="preserve">Sade Plan</t>
  </si>
  <si>
    <t xml:space="preserve">Vugar Mehdiyev</t>
  </si>
  <si>
    <t xml:space="preserve">Emin Mehdiyev</t>
  </si>
  <si>
    <t xml:space="preserve">Eko Plan</t>
  </si>
  <si>
    <t xml:space="preserve">4 customers exceeded their plan's minute allowance. These customers could be migrated to higher plans — improving their experience while increasing revenue.</t>
  </si>
  <si>
    <t xml:space="preserve">Send these customers an automatic 'plan upgrade' offer (SMS/app notification). Overage can cause dissatisfaction — a proactive offer both prevents complaints and grows revenue.</t>
  </si>
  <si>
    <t xml:space="preserve">Customers Exceeding Data Limit</t>
  </si>
  <si>
    <t xml:space="preserve">Exceeding free internet (MB) allowance (additional analysis)</t>
  </si>
  <si>
    <t xml:space="preserve">Limit (MB)</t>
  </si>
  <si>
    <t xml:space="preserve">Used (MB)</t>
  </si>
  <si>
    <t xml:space="preserve">Overage (MB)</t>
  </si>
  <si>
    <t xml:space="preserve">Emin Taghiyev</t>
  </si>
  <si>
    <t xml:space="preserve">Orkhan Mammadova</t>
  </si>
  <si>
    <t xml:space="preserve">VIP Global</t>
  </si>
  <si>
    <t xml:space="preserve">Anar Mehdiyev</t>
  </si>
  <si>
    <t xml:space="preserve">Unikal 10</t>
  </si>
  <si>
    <t xml:space="preserve">Farid Suleymanov</t>
  </si>
  <si>
    <t xml:space="preserve">Biznes Limitsiz</t>
  </si>
  <si>
    <t xml:space="preserve">Gunel Mammadova</t>
  </si>
  <si>
    <t xml:space="preserve">Tural Guliyev</t>
  </si>
  <si>
    <t xml:space="preserve">Gunel Aliyev</t>
  </si>
  <si>
    <t xml:space="preserve">Super Plan</t>
  </si>
  <si>
    <t xml:space="preserve">Tural Valiyev</t>
  </si>
  <si>
    <t xml:space="preserve">Ramil Gasimov</t>
  </si>
  <si>
    <t xml:space="preserve">Gece Tarif</t>
  </si>
  <si>
    <t xml:space="preserve">A total of 16 customers exceeded their data limit — far more than the 4 who exceeded voice. The biggest over-users are on small-allowance plans like 'Eko Plan' (1024 MB); Emin Taghiyev exceeded by 4,782 MB.</t>
  </si>
  <si>
    <t xml:space="preserve">This is the biggest upsell opportunity: 16 customers are squeezed on small data plans. They should automatically be offered larger data packages. 'Eko Plan' users in particular show high data demand — targeted data add-on sales to this segment could significantly increase revenue.</t>
  </si>
  <si>
    <t xml:space="preserve">Revenue by Tariff Plan</t>
  </si>
  <si>
    <t xml:space="preserve">Most profitable plans (III.7) — Top 12</t>
  </si>
  <si>
    <t xml:space="preserve">Tariff Plan</t>
  </si>
  <si>
    <t xml:space="preserve">Total Revenue (₼)</t>
  </si>
  <si>
    <t xml:space="preserve">Ultimate Data</t>
  </si>
  <si>
    <t xml:space="preserve">Talk &amp; Text</t>
  </si>
  <si>
    <t xml:space="preserve">Weekend Fun</t>
  </si>
  <si>
    <t xml:space="preserve">Premium Max</t>
  </si>
  <si>
    <t xml:space="preserve">Corporate Elite</t>
  </si>
  <si>
    <t xml:space="preserve">Platinum Premium</t>
  </si>
  <si>
    <t xml:space="preserve">Mini Tarif</t>
  </si>
  <si>
    <t xml:space="preserve">Genc Telekom</t>
  </si>
  <si>
    <t xml:space="preserve">'Ultimate Data' generates the most revenue (3,093 AZN) — proof of strong data demand. The top 3 plans account for a large share of total revenue. Customer retention on these plans is critical.</t>
  </si>
  <si>
    <t xml:space="preserve">Revenue is concentrated in a few plans — this is a risk (concentration). Special retention measures should protect the customers of these 'golden' plans; meanwhile, given high data demand, new data-centric packages should be developed.</t>
  </si>
  <si>
    <t xml:space="preserve">Top 10 Customers by Debt</t>
  </si>
  <si>
    <t xml:space="preserve">Debt analysis: Unpaid + Late Paid (III.8)</t>
  </si>
  <si>
    <t xml:space="preserve">Debt (₼)</t>
  </si>
  <si>
    <t xml:space="preserve">Farid Huseynov</t>
  </si>
  <si>
    <t xml:space="preserve">Farid Karimov</t>
  </si>
  <si>
    <t xml:space="preserve">Rashad Abbasov</t>
  </si>
  <si>
    <t xml:space="preserve">Rashad Karimov</t>
  </si>
  <si>
    <t xml:space="preserve">Leyla Taghiyev</t>
  </si>
  <si>
    <t xml:space="preserve">Emin Karimov</t>
  </si>
  <si>
    <t xml:space="preserve">Total debt is 5,260 ₼. The largest debtor is Orkhan Garavaliyev (429 ₼). Direct contact should be established with these customers.</t>
  </si>
  <si>
    <t xml:space="preserve">A phased approach to collection is recommended: first automated reminders (SMS/email), then personal contact, and finally a flexible payment-plan offer. High-debt customers should be warned before service suspension so they are not lost entirely.</t>
  </si>
  <si>
    <t xml:space="preserve">Payment Status Distribution</t>
  </si>
  <si>
    <t xml:space="preserve">Localized status overview (III.9)</t>
  </si>
  <si>
    <t xml:space="preserve">Invoices</t>
  </si>
  <si>
    <t xml:space="preserve">Paid</t>
  </si>
  <si>
    <t xml:space="preserve">Unpaid</t>
  </si>
  <si>
    <t xml:space="preserve">Late Paid</t>
  </si>
  <si>
    <t xml:space="preserve">59% of invoices are paid on time. However, 22% Unpaid + 19% Late = 41% problematic payments. This is a high figure and may cause issues.</t>
  </si>
  <si>
    <t xml:space="preserve">A 41% problematic-payment rate is a serious cash-flow risk. Solutions: (1) an auto-pay system with a discount for those who enroll, (2) reminder notifications before the due date, (3) a light late-payment penalty policy. These measures could raise the collection rate above 78%.</t>
  </si>
  <si>
    <t xml:space="preserve">⚠ CHURN RISK — High-Risk Customers</t>
  </si>
  <si>
    <t xml:space="preserve">No activity in last 3 months + last invoice unpaid (IV)</t>
  </si>
  <si>
    <t xml:space="preserve">ID</t>
  </si>
  <si>
    <t xml:space="preserve">System Status</t>
  </si>
  <si>
    <t xml:space="preserve">Last Invoice</t>
  </si>
  <si>
    <t xml:space="preserve">Risk</t>
  </si>
  <si>
    <t xml:space="preserve">Ilkin Huseynov</t>
  </si>
  <si>
    <t xml:space="preserve">High Risk</t>
  </si>
  <si>
    <t xml:space="preserve">Nigar Mehdiyev</t>
  </si>
  <si>
    <t xml:space="preserve">Nigar Valiyev</t>
  </si>
  <si>
    <t xml:space="preserve">Zaur Mehdiyev</t>
  </si>
  <si>
    <t xml:space="preserve">At-Risk Count</t>
  </si>
  <si>
    <t xml:space="preserve">9 customers are at high churn risk. 4 of them still appear 'Active' in the system (highlighted in red), meaning standard status reporting hides this risk. 2 are already Churned (confirmed loss); the remaining 7 can still be saved.</t>
  </si>
  <si>
    <t xml:space="preserve">Marketing must obtain this list immediately. Priority: first the 4 'Active'-looking customers (the company is still unaware of them), then the Suspended ones. Each should receive a personalized win-back offer (discount, bonus data/minutes, personal call). This early-intervention process can later be automated.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</si>
</sst>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\%"/>
    <numFmt numFmtId="167" formatCode="#,##0"/>
    <numFmt numFmtId="168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.5"/>
      <color rgb="FF404040"/>
      <name val="Arial"/>
      <family val="0"/>
      <charset val="1"/>
    </font>
    <font>
      <b val="true"/>
      <sz val="24"/>
      <color rgb="FF1F3864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24"/>
      <color rgb="FFED7D31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2E9599"/>
      <name val="Arial"/>
      <family val="0"/>
      <charset val="1"/>
    </font>
    <font>
      <sz val="10.5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6FB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2F6FB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BBB59"/>
      <rgbColor rgb="FFFFCC00"/>
      <rgbColor rgb="FFFF9900"/>
      <rgbColor rgb="FFED7D31"/>
      <rgbColor rgb="FF4F81BD"/>
      <rgbColor rgb="FF878787"/>
      <rgbColor rgb="FF1F3864"/>
      <rgbColor rgb="FF2E9599"/>
      <rgbColor rgb="FF003300"/>
      <rgbColor rgb="FF40404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Distribution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01_City_Status!C4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01_City_Status!$B$5:$B$14</c:f>
              <c:strCache>
                <c:ptCount val="10"/>
                <c:pt idx="0">
                  <c:v>Mingachevir</c:v>
                </c:pt>
                <c:pt idx="1">
                  <c:v>Baku</c:v>
                </c:pt>
                <c:pt idx="2">
                  <c:v>Sumqayit</c:v>
                </c:pt>
                <c:pt idx="3">
                  <c:v>Ganja</c:v>
                </c:pt>
                <c:pt idx="4">
                  <c:v>Yevlakh</c:v>
                </c:pt>
                <c:pt idx="5">
                  <c:v>Nakhchivan</c:v>
                </c:pt>
                <c:pt idx="6">
                  <c:v>Sheki</c:v>
                </c:pt>
                <c:pt idx="7">
                  <c:v>Lankaran</c:v>
                </c:pt>
                <c:pt idx="8">
                  <c:v>Shirvan</c:v>
                </c:pt>
                <c:pt idx="9">
                  <c:v>Khankendi</c:v>
                </c:pt>
              </c:strCache>
            </c:strRef>
          </c:cat>
          <c:val>
            <c:numRef>
              <c:f>01_City_Status!$C$5:$C$14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ser>
          <c:idx val="1"/>
          <c:order val="1"/>
          <c:tx>
            <c:strRef>
              <c:f>01_City_Status!D4</c:f>
              <c:strCache>
                <c:ptCount val="1"/>
                <c:pt idx="0">
                  <c:v>Suspended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01_City_Status!$B$5:$B$14</c:f>
              <c:strCache>
                <c:ptCount val="10"/>
                <c:pt idx="0">
                  <c:v>Mingachevir</c:v>
                </c:pt>
                <c:pt idx="1">
                  <c:v>Baku</c:v>
                </c:pt>
                <c:pt idx="2">
                  <c:v>Sumqayit</c:v>
                </c:pt>
                <c:pt idx="3">
                  <c:v>Ganja</c:v>
                </c:pt>
                <c:pt idx="4">
                  <c:v>Yevlakh</c:v>
                </c:pt>
                <c:pt idx="5">
                  <c:v>Nakhchivan</c:v>
                </c:pt>
                <c:pt idx="6">
                  <c:v>Sheki</c:v>
                </c:pt>
                <c:pt idx="7">
                  <c:v>Lankaran</c:v>
                </c:pt>
                <c:pt idx="8">
                  <c:v>Shirvan</c:v>
                </c:pt>
                <c:pt idx="9">
                  <c:v>Khankendi</c:v>
                </c:pt>
              </c:strCache>
            </c:strRef>
          </c:cat>
          <c:val>
            <c:numRef>
              <c:f>01_City_Status!$D$5:$D$14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ser>
          <c:idx val="2"/>
          <c:order val="2"/>
          <c:tx>
            <c:strRef>
              <c:f>01_City_Status!E4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01_City_Status!$B$5:$B$14</c:f>
              <c:strCache>
                <c:ptCount val="10"/>
                <c:pt idx="0">
                  <c:v>Mingachevir</c:v>
                </c:pt>
                <c:pt idx="1">
                  <c:v>Baku</c:v>
                </c:pt>
                <c:pt idx="2">
                  <c:v>Sumqayit</c:v>
                </c:pt>
                <c:pt idx="3">
                  <c:v>Ganja</c:v>
                </c:pt>
                <c:pt idx="4">
                  <c:v>Yevlakh</c:v>
                </c:pt>
                <c:pt idx="5">
                  <c:v>Nakhchivan</c:v>
                </c:pt>
                <c:pt idx="6">
                  <c:v>Sheki</c:v>
                </c:pt>
                <c:pt idx="7">
                  <c:v>Lankaran</c:v>
                </c:pt>
                <c:pt idx="8">
                  <c:v>Shirvan</c:v>
                </c:pt>
                <c:pt idx="9">
                  <c:v>Khankendi</c:v>
                </c:pt>
              </c:strCache>
            </c:strRef>
          </c:cat>
          <c:val>
            <c:numRef>
              <c:f>01_City_Status!$E$5:$E$14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gapWidth val="150"/>
        <c:overlap val="100"/>
        <c:axId val="45590461"/>
        <c:axId val="1755533"/>
      </c:barChart>
      <c:catAx>
        <c:axId val="45590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5533"/>
        <c:crosses val="autoZero"/>
        <c:auto val="1"/>
        <c:lblAlgn val="ctr"/>
        <c:lblOffset val="100"/>
        <c:noMultiLvlLbl val="0"/>
      </c:catAx>
      <c:valAx>
        <c:axId val="1755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90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Groups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02_Age_Groups!C4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02_Age_Groups!$B$5:$B$7</c:f>
              <c:strCache>
                <c:ptCount val="3"/>
                <c:pt idx="0">
                  <c:v>Youth (&lt;25)</c:v>
                </c:pt>
                <c:pt idx="1">
                  <c:v>Middle-Aged (25-50)</c:v>
                </c:pt>
                <c:pt idx="2">
                  <c:v>Senior (&gt;50)</c:v>
                </c:pt>
              </c:strCache>
            </c:strRef>
          </c:cat>
          <c:val>
            <c:numRef>
              <c:f>02_Age_Groups!$C$5:$C$7</c:f>
              <c:numCache>
                <c:formatCode>General</c:formatCode>
                <c:ptCount val="3"/>
                <c:pt idx="0">
                  <c:v>7</c:v>
                </c:pt>
                <c:pt idx="1">
                  <c:v>40</c:v>
                </c:pt>
                <c:pt idx="2">
                  <c:v>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Subscribers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03_Registration_Trend!C4</c:f>
              <c:strCache>
                <c:ptCount val="1"/>
                <c:pt idx="0">
                  <c:v>New Subscribers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03_Registration_Trend!$B$5:$B$9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03_Registration_Trend!$C$5:$C$9</c:f>
              <c:numCache>
                <c:formatCode>General</c:formatCode>
                <c:ptCount val="5"/>
                <c:pt idx="0">
                  <c:v>21</c:v>
                </c:pt>
                <c:pt idx="1">
                  <c:v>14</c:v>
                </c:pt>
                <c:pt idx="2">
                  <c:v>11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88011"/>
        <c:axId val="2222024"/>
      </c:lineChart>
      <c:catAx>
        <c:axId val="6388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2024"/>
        <c:crosses val="autoZero"/>
        <c:auto val="1"/>
        <c:lblAlgn val="ctr"/>
        <c:lblOffset val="100"/>
        <c:noMultiLvlLbl val="0"/>
      </c:catAx>
      <c:valAx>
        <c:axId val="2222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Subscribers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8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Tenure by Status (years)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04_Tenure_by_Status!C4</c:f>
              <c:strCache>
                <c:ptCount val="1"/>
                <c:pt idx="0">
                  <c:v>Avg Tenure (years)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04_Tenure_by_Status!$B$5:$B$7</c:f>
              <c:strCache>
                <c:ptCount val="3"/>
                <c:pt idx="0">
                  <c:v>Suspended</c:v>
                </c:pt>
                <c:pt idx="1">
                  <c:v>Churned</c:v>
                </c:pt>
                <c:pt idx="2">
                  <c:v>Active</c:v>
                </c:pt>
              </c:strCache>
            </c:strRef>
          </c:cat>
          <c:val>
            <c:numRef>
              <c:f>04_Tenure_by_Status!$C$5:$C$7</c:f>
              <c:numCache>
                <c:formatCode>General</c:formatCode>
                <c:ptCount val="3"/>
                <c:pt idx="0">
                  <c:v>3.5</c:v>
                </c:pt>
                <c:pt idx="1">
                  <c:v>3.3</c:v>
                </c:pt>
                <c:pt idx="2">
                  <c:v>2.7</c:v>
                </c:pt>
              </c:numCache>
            </c:numRef>
          </c:val>
        </c:ser>
        <c:gapWidth val="150"/>
        <c:overlap val="0"/>
        <c:axId val="47527136"/>
        <c:axId val="34300672"/>
      </c:barChart>
      <c:catAx>
        <c:axId val="4752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00672"/>
        <c:crosses val="autoZero"/>
        <c:auto val="1"/>
        <c:lblAlgn val="ctr"/>
        <c:lblOffset val="100"/>
        <c:noMultiLvlLbl val="0"/>
      </c:catAx>
      <c:valAx>
        <c:axId val="34300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271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Age Group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05_Churn_by_Age!E4</c:f>
              <c:strCache>
                <c:ptCount val="1"/>
                <c:pt idx="0">
                  <c:v>Churn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05_Churn_by_Age!$B$5:$B$7</c:f>
              <c:strCache>
                <c:ptCount val="3"/>
                <c:pt idx="0">
                  <c:v>Youth (&lt;25)</c:v>
                </c:pt>
                <c:pt idx="1">
                  <c:v>Middle-Aged (25-50)</c:v>
                </c:pt>
                <c:pt idx="2">
                  <c:v>Senior (&gt;50)</c:v>
                </c:pt>
              </c:strCache>
            </c:strRef>
          </c:cat>
          <c:val>
            <c:numRef>
              <c:f>05_Churn_by_Age!$E$5:$E$7</c:f>
              <c:numCache>
                <c:formatCode>0.0\%</c:formatCode>
                <c:ptCount val="3"/>
                <c:pt idx="0">
                  <c:v>14.3</c:v>
                </c:pt>
                <c:pt idx="1">
                  <c:v>17.5</c:v>
                </c:pt>
                <c:pt idx="2">
                  <c:v>6.1</c:v>
                </c:pt>
              </c:numCache>
            </c:numRef>
          </c:val>
        </c:ser>
        <c:gapWidth val="150"/>
        <c:overlap val="0"/>
        <c:axId val="75498310"/>
        <c:axId val="23023399"/>
      </c:barChart>
      <c:catAx>
        <c:axId val="75498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23399"/>
        <c:crosses val="autoZero"/>
        <c:auto val="1"/>
        <c:lblAlgn val="ctr"/>
        <c:lblOffset val="100"/>
        <c:noMultiLvlLbl val="0"/>
      </c:catAx>
      <c:valAx>
        <c:axId val="23023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983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06_Status_Gender!C4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06_Status_Gender!$B$5:$B$7</c:f>
              <c:strCache>
                <c:ptCount val="3"/>
                <c:pt idx="0">
                  <c:v>Active</c:v>
                </c:pt>
                <c:pt idx="1">
                  <c:v>Suspended</c:v>
                </c:pt>
                <c:pt idx="2">
                  <c:v>Churned</c:v>
                </c:pt>
              </c:strCache>
            </c:strRef>
          </c:cat>
          <c:val>
            <c:numRef>
              <c:f>06_Status_Gender!$C$5:$C$7</c:f>
              <c:numCache>
                <c:formatCode>General</c:formatCode>
                <c:ptCount val="3"/>
                <c:pt idx="0">
                  <c:v>51</c:v>
                </c:pt>
                <c:pt idx="1">
                  <c:v>19</c:v>
                </c:pt>
                <c:pt idx="2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06_Status_Gender!C12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06_Status_Gender!$B$13:$B$14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06_Status_Gender!$C$13:$C$14</c:f>
              <c:numCache>
                <c:formatCode>General</c:formatCode>
                <c:ptCount val="2"/>
                <c:pt idx="0">
                  <c:v>58</c:v>
                </c:pt>
                <c:pt idx="1">
                  <c:v>22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— Talk 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07_Top10_Usage!D4</c:f>
              <c:strCache>
                <c:ptCount val="1"/>
                <c:pt idx="0">
                  <c:v>Talk (min)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07_Top10_Usage!$B$5:$B$14</c:f>
              <c:strCache>
                <c:ptCount val="10"/>
                <c:pt idx="0">
                  <c:v>Nargiz Hasanov</c:v>
                </c:pt>
                <c:pt idx="1">
                  <c:v>Vugar Garavaliyev</c:v>
                </c:pt>
                <c:pt idx="2">
                  <c:v>Orkhan Garavaliyev</c:v>
                </c:pt>
                <c:pt idx="3">
                  <c:v>Vugar Valiyev</c:v>
                </c:pt>
                <c:pt idx="4">
                  <c:v>Aysel Mehdiyev</c:v>
                </c:pt>
                <c:pt idx="5">
                  <c:v>Kamran Garavaliyev</c:v>
                </c:pt>
                <c:pt idx="6">
                  <c:v>Elvin Muradov</c:v>
                </c:pt>
                <c:pt idx="7">
                  <c:v>Samir Hasanov</c:v>
                </c:pt>
                <c:pt idx="8">
                  <c:v>Nigar Karimov</c:v>
                </c:pt>
                <c:pt idx="9">
                  <c:v>Kamran Valiyev</c:v>
                </c:pt>
              </c:strCache>
            </c:strRef>
          </c:cat>
          <c:val>
            <c:numRef>
              <c:f>07_Top10_Usage!$D$5:$D$14</c:f>
              <c:numCache>
                <c:formatCode>General</c:formatCode>
                <c:ptCount val="10"/>
                <c:pt idx="0">
                  <c:v>342</c:v>
                </c:pt>
                <c:pt idx="1">
                  <c:v>213</c:v>
                </c:pt>
                <c:pt idx="2">
                  <c:v>202</c:v>
                </c:pt>
                <c:pt idx="3">
                  <c:v>196</c:v>
                </c:pt>
                <c:pt idx="4">
                  <c:v>196</c:v>
                </c:pt>
                <c:pt idx="5">
                  <c:v>188</c:v>
                </c:pt>
                <c:pt idx="6">
                  <c:v>184</c:v>
                </c:pt>
                <c:pt idx="7">
                  <c:v>179</c:v>
                </c:pt>
                <c:pt idx="8">
                  <c:v>164</c:v>
                </c:pt>
                <c:pt idx="9">
                  <c:v>158</c:v>
                </c:pt>
              </c:numCache>
            </c:numRef>
          </c:val>
        </c:ser>
        <c:gapWidth val="150"/>
        <c:overlap val="0"/>
        <c:axId val="64024819"/>
        <c:axId val="96064894"/>
      </c:barChart>
      <c:catAx>
        <c:axId val="64024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64894"/>
        <c:crosses val="autoZero"/>
        <c:auto val="1"/>
        <c:lblAlgn val="ctr"/>
        <c:lblOffset val="100"/>
        <c:noMultiLvlLbl val="0"/>
      </c:catAx>
      <c:valAx>
        <c:axId val="96064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248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Voice Limit Overage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08_Voice_Overage!F4</c:f>
              <c:strCache>
                <c:ptCount val="1"/>
                <c:pt idx="0">
                  <c:v>Overage (min)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08_Voice_Overage!$B$5:$B$8</c:f>
              <c:strCache>
                <c:ptCount val="4"/>
                <c:pt idx="0">
                  <c:v>Vugar Garavaliyev</c:v>
                </c:pt>
                <c:pt idx="1">
                  <c:v>Kamran Garavaliyev</c:v>
                </c:pt>
                <c:pt idx="2">
                  <c:v>Vugar Mehdiyev</c:v>
                </c:pt>
                <c:pt idx="3">
                  <c:v>Emin Mehdiyev</c:v>
                </c:pt>
              </c:strCache>
            </c:strRef>
          </c:cat>
          <c:val>
            <c:numRef>
              <c:f>08_Voice_Overage!$F$5:$F$8</c:f>
              <c:numCache>
                <c:formatCode>General</c:formatCode>
                <c:ptCount val="4"/>
                <c:pt idx="0">
                  <c:v>113</c:v>
                </c:pt>
                <c:pt idx="1">
                  <c:v>88</c:v>
                </c:pt>
                <c:pt idx="2">
                  <c:v>19</c:v>
                </c:pt>
                <c:pt idx="3">
                  <c:v>10</c:v>
                </c:pt>
              </c:numCache>
            </c:numRef>
          </c:val>
        </c:ser>
        <c:gapWidth val="150"/>
        <c:overlap val="0"/>
        <c:axId val="30408277"/>
        <c:axId val="25830786"/>
      </c:barChart>
      <c:catAx>
        <c:axId val="304082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30786"/>
        <c:crosses val="autoZero"/>
        <c:auto val="1"/>
        <c:lblAlgn val="ctr"/>
        <c:lblOffset val="100"/>
        <c:noMultiLvlLbl val="0"/>
      </c:catAx>
      <c:valAx>
        <c:axId val="25830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082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Data Limit Overage — Top 10 (MB)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09_Data_Overage!F4</c:f>
              <c:strCache>
                <c:ptCount val="1"/>
                <c:pt idx="0">
                  <c:v>Overage (MB)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09_Data_Overage!$B$5:$B$14</c:f>
              <c:strCache>
                <c:ptCount val="10"/>
                <c:pt idx="0">
                  <c:v>Emin Taghiyev</c:v>
                </c:pt>
                <c:pt idx="1">
                  <c:v>Emin Mehdiyev</c:v>
                </c:pt>
                <c:pt idx="2">
                  <c:v>Orkhan Mammadova</c:v>
                </c:pt>
                <c:pt idx="3">
                  <c:v>Anar Mehdiyev</c:v>
                </c:pt>
                <c:pt idx="4">
                  <c:v>Farid Suleymanov</c:v>
                </c:pt>
                <c:pt idx="5">
                  <c:v>Gunel Mammadova</c:v>
                </c:pt>
                <c:pt idx="6">
                  <c:v>Tural Guliyev</c:v>
                </c:pt>
                <c:pt idx="7">
                  <c:v>Gunel Aliyev</c:v>
                </c:pt>
                <c:pt idx="8">
                  <c:v>Tural Valiyev</c:v>
                </c:pt>
                <c:pt idx="9">
                  <c:v>Ramil Gasimov</c:v>
                </c:pt>
              </c:strCache>
            </c:strRef>
          </c:cat>
          <c:val>
            <c:numRef>
              <c:f>09_Data_Overage!$F$5:$F$14</c:f>
              <c:numCache>
                <c:formatCode>General</c:formatCode>
                <c:ptCount val="10"/>
                <c:pt idx="0">
                  <c:v>4781</c:v>
                </c:pt>
                <c:pt idx="1">
                  <c:v>4136</c:v>
                </c:pt>
                <c:pt idx="2">
                  <c:v>3543</c:v>
                </c:pt>
                <c:pt idx="3">
                  <c:v>3301</c:v>
                </c:pt>
                <c:pt idx="4">
                  <c:v>2896</c:v>
                </c:pt>
                <c:pt idx="5">
                  <c:v>1855</c:v>
                </c:pt>
                <c:pt idx="6">
                  <c:v>1763</c:v>
                </c:pt>
                <c:pt idx="7">
                  <c:v>1374</c:v>
                </c:pt>
                <c:pt idx="8">
                  <c:v>1208</c:v>
                </c:pt>
                <c:pt idx="9">
                  <c:v>1133</c:v>
                </c:pt>
              </c:numCache>
            </c:numRef>
          </c:val>
        </c:ser>
        <c:gapWidth val="150"/>
        <c:overlap val="0"/>
        <c:axId val="20077653"/>
        <c:axId val="53802594"/>
      </c:barChart>
      <c:catAx>
        <c:axId val="200776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02594"/>
        <c:crosses val="autoZero"/>
        <c:auto val="1"/>
        <c:lblAlgn val="ctr"/>
        <c:lblOffset val="100"/>
        <c:noMultiLvlLbl val="0"/>
      </c:catAx>
      <c:valAx>
        <c:axId val="53802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776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12 Revenue-Generating Tariffs (₼)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10_Revenue_by_Tariff!C4</c:f>
              <c:strCache>
                <c:ptCount val="1"/>
                <c:pt idx="0">
                  <c:v>Total Revenue (₼)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10_Revenue_by_Tariff!$B$5:$B$16</c:f>
              <c:strCache>
                <c:ptCount val="12"/>
                <c:pt idx="0">
                  <c:v>Ultimate Data</c:v>
                </c:pt>
                <c:pt idx="1">
                  <c:v>Talk &amp; Text</c:v>
                </c:pt>
                <c:pt idx="2">
                  <c:v>Eko Plan</c:v>
                </c:pt>
                <c:pt idx="3">
                  <c:v>VIP Global</c:v>
                </c:pt>
                <c:pt idx="4">
                  <c:v>Weekend Fun</c:v>
                </c:pt>
                <c:pt idx="5">
                  <c:v>Premium Max</c:v>
                </c:pt>
                <c:pt idx="6">
                  <c:v>Corporate Elite</c:v>
                </c:pt>
                <c:pt idx="7">
                  <c:v>Gold Business</c:v>
                </c:pt>
                <c:pt idx="8">
                  <c:v>Platinum Premium</c:v>
                </c:pt>
                <c:pt idx="9">
                  <c:v>Mini Tarif</c:v>
                </c:pt>
                <c:pt idx="10">
                  <c:v>Unikal 10</c:v>
                </c:pt>
                <c:pt idx="11">
                  <c:v>Genc Telekom</c:v>
                </c:pt>
              </c:strCache>
            </c:strRef>
          </c:cat>
          <c:val>
            <c:numRef>
              <c:f>10_Revenue_by_Tariff!$C$5:$C$16</c:f>
              <c:numCache>
                <c:formatCode>#,##0</c:formatCode>
                <c:ptCount val="12"/>
                <c:pt idx="0">
                  <c:v>3093.36</c:v>
                </c:pt>
                <c:pt idx="1">
                  <c:v>1960.16</c:v>
                </c:pt>
                <c:pt idx="2">
                  <c:v>1883.96</c:v>
                </c:pt>
                <c:pt idx="3">
                  <c:v>1825.75</c:v>
                </c:pt>
                <c:pt idx="4">
                  <c:v>1821.14</c:v>
                </c:pt>
                <c:pt idx="5">
                  <c:v>1418.87</c:v>
                </c:pt>
                <c:pt idx="6">
                  <c:v>1361.89</c:v>
                </c:pt>
                <c:pt idx="7">
                  <c:v>1339.23</c:v>
                </c:pt>
                <c:pt idx="8">
                  <c:v>1179.25</c:v>
                </c:pt>
                <c:pt idx="9">
                  <c:v>1173.37</c:v>
                </c:pt>
                <c:pt idx="10">
                  <c:v>1015.94</c:v>
                </c:pt>
                <c:pt idx="11">
                  <c:v>850.48</c:v>
                </c:pt>
              </c:numCache>
            </c:numRef>
          </c:val>
        </c:ser>
        <c:gapWidth val="150"/>
        <c:overlap val="0"/>
        <c:axId val="11486127"/>
        <c:axId val="19906322"/>
      </c:barChart>
      <c:catAx>
        <c:axId val="1148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06322"/>
        <c:crosses val="autoZero"/>
        <c:auto val="1"/>
        <c:lblAlgn val="ctr"/>
        <c:lblOffset val="100"/>
        <c:noMultiLvlLbl val="0"/>
      </c:catAx>
      <c:valAx>
        <c:axId val="19906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861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Debtors (₼)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11_Top_Debtors!D4</c:f>
              <c:strCache>
                <c:ptCount val="1"/>
                <c:pt idx="0">
                  <c:v>Debt (₼)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11_Top_Debtors!$B$5:$B$14</c:f>
              <c:strCache>
                <c:ptCount val="10"/>
                <c:pt idx="0">
                  <c:v>Orkhan Garavaliyev</c:v>
                </c:pt>
                <c:pt idx="1">
                  <c:v>Farid Huseynov</c:v>
                </c:pt>
                <c:pt idx="2">
                  <c:v>Farid Karimov</c:v>
                </c:pt>
                <c:pt idx="3">
                  <c:v>Vugar Garavaliyev</c:v>
                </c:pt>
                <c:pt idx="4">
                  <c:v>Rashad Abbasov</c:v>
                </c:pt>
                <c:pt idx="5">
                  <c:v>Rashad Karimov</c:v>
                </c:pt>
                <c:pt idx="6">
                  <c:v>Leyla Taghiyev</c:v>
                </c:pt>
                <c:pt idx="7">
                  <c:v>Farid Suleymanov</c:v>
                </c:pt>
                <c:pt idx="8">
                  <c:v>Anar Mehdiyev</c:v>
                </c:pt>
                <c:pt idx="9">
                  <c:v>Emin Karimov</c:v>
                </c:pt>
              </c:strCache>
            </c:strRef>
          </c:cat>
          <c:val>
            <c:numRef>
              <c:f>11_Top_Debtors!$D$5:$D$14</c:f>
              <c:numCache>
                <c:formatCode>#,##0.00</c:formatCode>
                <c:ptCount val="10"/>
                <c:pt idx="0">
                  <c:v>429.5</c:v>
                </c:pt>
                <c:pt idx="1">
                  <c:v>250.09</c:v>
                </c:pt>
                <c:pt idx="2">
                  <c:v>237.75</c:v>
                </c:pt>
                <c:pt idx="3">
                  <c:v>205.49</c:v>
                </c:pt>
                <c:pt idx="4">
                  <c:v>190.61</c:v>
                </c:pt>
                <c:pt idx="5">
                  <c:v>184.57</c:v>
                </c:pt>
                <c:pt idx="6">
                  <c:v>180.78</c:v>
                </c:pt>
                <c:pt idx="7">
                  <c:v>170.16</c:v>
                </c:pt>
                <c:pt idx="8">
                  <c:v>166.14</c:v>
                </c:pt>
                <c:pt idx="9">
                  <c:v>158.5</c:v>
                </c:pt>
              </c:numCache>
            </c:numRef>
          </c:val>
        </c:ser>
        <c:gapWidth val="150"/>
        <c:overlap val="0"/>
        <c:axId val="13627121"/>
        <c:axId val="33780887"/>
      </c:barChart>
      <c:catAx>
        <c:axId val="136271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80887"/>
        <c:crosses val="autoZero"/>
        <c:auto val="1"/>
        <c:lblAlgn val="ctr"/>
        <c:lblOffset val="100"/>
        <c:noMultiLvlLbl val="0"/>
      </c:catAx>
      <c:valAx>
        <c:axId val="33780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271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Status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12_Payment_Status!C4</c:f>
              <c:strCache>
                <c:ptCount val="1"/>
                <c:pt idx="0">
                  <c:v>Invoices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12_Payment_Status!$B$5:$B$7</c:f>
              <c:strCache>
                <c:ptCount val="3"/>
                <c:pt idx="0">
                  <c:v>Paid</c:v>
                </c:pt>
                <c:pt idx="1">
                  <c:v>Unpaid</c:v>
                </c:pt>
                <c:pt idx="2">
                  <c:v>Late Paid</c:v>
                </c:pt>
              </c:strCache>
            </c:strRef>
          </c:cat>
          <c:val>
            <c:numRef>
              <c:f>12_Payment_Status!$C$5:$C$7</c:f>
              <c:numCache>
                <c:formatCode>General</c:formatCode>
                <c:ptCount val="3"/>
                <c:pt idx="0">
                  <c:v>265</c:v>
                </c:pt>
                <c:pt idx="1">
                  <c:v>98</c:v>
                </c:pt>
                <c:pt idx="2">
                  <c:v>87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Risk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13_CHURN_RISK!C16</c:f>
              <c:strCache>
                <c:ptCount val="1"/>
                <c:pt idx="0">
                  <c:v>At-Risk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13_CHURN_RISK!$B$17:$B$23</c:f>
              <c:strCache>
                <c:ptCount val="7"/>
                <c:pt idx="0">
                  <c:v>Baku</c:v>
                </c:pt>
                <c:pt idx="1">
                  <c:v>Khankendi</c:v>
                </c:pt>
                <c:pt idx="2">
                  <c:v>Lankaran</c:v>
                </c:pt>
                <c:pt idx="3">
                  <c:v>Nakhchivan</c:v>
                </c:pt>
                <c:pt idx="4">
                  <c:v>Shirvan</c:v>
                </c:pt>
                <c:pt idx="5">
                  <c:v>Sumqayit</c:v>
                </c:pt>
                <c:pt idx="6">
                  <c:v>Yevlakh</c:v>
                </c:pt>
              </c:strCache>
            </c:strRef>
          </c:cat>
          <c:val>
            <c:numRef>
              <c:f>13_CHURN_RISK!$C$17:$C$23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19257132"/>
        <c:axId val="52494493"/>
      </c:barChart>
      <c:catAx>
        <c:axId val="19257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94493"/>
        <c:crosses val="autoZero"/>
        <c:auto val="1"/>
        <c:lblAlgn val="ctr"/>
        <c:lblOffset val="100"/>
        <c:noMultiLvlLbl val="0"/>
      </c:catAx>
      <c:valAx>
        <c:axId val="524944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571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70560</xdr:rowOff>
    </xdr:from>
    <xdr:to>
      <xdr:col>16</xdr:col>
      <xdr:colOff>4320</xdr:colOff>
      <xdr:row>18</xdr:row>
      <xdr:rowOff>130680</xdr:rowOff>
    </xdr:to>
    <xdr:graphicFrame>
      <xdr:nvGraphicFramePr>
        <xdr:cNvPr id="0" name="Chart 1"/>
        <xdr:cNvGraphicFramePr/>
      </xdr:nvGraphicFramePr>
      <xdr:xfrm>
        <a:off x="477000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70560</xdr:rowOff>
    </xdr:from>
    <xdr:to>
      <xdr:col>12</xdr:col>
      <xdr:colOff>399240</xdr:colOff>
      <xdr:row>16</xdr:row>
      <xdr:rowOff>151920</xdr:rowOff>
    </xdr:to>
    <xdr:graphicFrame>
      <xdr:nvGraphicFramePr>
        <xdr:cNvPr id="1" name="Chart 1"/>
        <xdr:cNvGraphicFramePr/>
      </xdr:nvGraphicFramePr>
      <xdr:xfrm>
        <a:off x="5052240" y="5716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70560</xdr:rowOff>
    </xdr:from>
    <xdr:to>
      <xdr:col>12</xdr:col>
      <xdr:colOff>507600</xdr:colOff>
      <xdr:row>18</xdr:row>
      <xdr:rowOff>130680</xdr:rowOff>
    </xdr:to>
    <xdr:graphicFrame>
      <xdr:nvGraphicFramePr>
        <xdr:cNvPr id="2" name="Chart 1"/>
        <xdr:cNvGraphicFramePr/>
      </xdr:nvGraphicFramePr>
      <xdr:xfrm>
        <a:off x="3360600" y="571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70560</xdr:rowOff>
    </xdr:from>
    <xdr:to>
      <xdr:col>11</xdr:col>
      <xdr:colOff>399240</xdr:colOff>
      <xdr:row>18</xdr:row>
      <xdr:rowOff>130680</xdr:rowOff>
    </xdr:to>
    <xdr:graphicFrame>
      <xdr:nvGraphicFramePr>
        <xdr:cNvPr id="3" name="Chart 1"/>
        <xdr:cNvGraphicFramePr/>
      </xdr:nvGraphicFramePr>
      <xdr:xfrm>
        <a:off x="3642480" y="5716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70560</xdr:rowOff>
    </xdr:from>
    <xdr:to>
      <xdr:col>14</xdr:col>
      <xdr:colOff>147600</xdr:colOff>
      <xdr:row>18</xdr:row>
      <xdr:rowOff>130680</xdr:rowOff>
    </xdr:to>
    <xdr:graphicFrame>
      <xdr:nvGraphicFramePr>
        <xdr:cNvPr id="4" name="Chart 1"/>
        <xdr:cNvGraphicFramePr/>
      </xdr:nvGraphicFramePr>
      <xdr:xfrm>
        <a:off x="5897880" y="5716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70560</xdr:rowOff>
    </xdr:from>
    <xdr:to>
      <xdr:col>10</xdr:col>
      <xdr:colOff>290520</xdr:colOff>
      <xdr:row>16</xdr:row>
      <xdr:rowOff>103320</xdr:rowOff>
    </xdr:to>
    <xdr:graphicFrame>
      <xdr:nvGraphicFramePr>
        <xdr:cNvPr id="5" name="Chart 1"/>
        <xdr:cNvGraphicFramePr/>
      </xdr:nvGraphicFramePr>
      <xdr:xfrm>
        <a:off x="3078360" y="57168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10</xdr:row>
      <xdr:rowOff>70560</xdr:rowOff>
    </xdr:from>
    <xdr:to>
      <xdr:col>10</xdr:col>
      <xdr:colOff>290520</xdr:colOff>
      <xdr:row>23</xdr:row>
      <xdr:rowOff>162360</xdr:rowOff>
    </xdr:to>
    <xdr:graphicFrame>
      <xdr:nvGraphicFramePr>
        <xdr:cNvPr id="6" name="Chart 2"/>
        <xdr:cNvGraphicFramePr/>
      </xdr:nvGraphicFramePr>
      <xdr:xfrm>
        <a:off x="3078360" y="209556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70560</xdr:rowOff>
    </xdr:from>
    <xdr:to>
      <xdr:col>15</xdr:col>
      <xdr:colOff>256320</xdr:colOff>
      <xdr:row>20</xdr:row>
      <xdr:rowOff>109800</xdr:rowOff>
    </xdr:to>
    <xdr:graphicFrame>
      <xdr:nvGraphicFramePr>
        <xdr:cNvPr id="7" name="Chart 1"/>
        <xdr:cNvGraphicFramePr/>
      </xdr:nvGraphicFramePr>
      <xdr:xfrm>
        <a:off x="5334120" y="5716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70560</xdr:rowOff>
    </xdr:from>
    <xdr:to>
      <xdr:col>15</xdr:col>
      <xdr:colOff>507600</xdr:colOff>
      <xdr:row>14</xdr:row>
      <xdr:rowOff>172800</xdr:rowOff>
    </xdr:to>
    <xdr:graphicFrame>
      <xdr:nvGraphicFramePr>
        <xdr:cNvPr id="8" name="Chart 1"/>
        <xdr:cNvGraphicFramePr/>
      </xdr:nvGraphicFramePr>
      <xdr:xfrm>
        <a:off x="6109200" y="57168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70560</xdr:rowOff>
    </xdr:from>
    <xdr:to>
      <xdr:col>15</xdr:col>
      <xdr:colOff>507600</xdr:colOff>
      <xdr:row>19</xdr:row>
      <xdr:rowOff>148680</xdr:rowOff>
    </xdr:to>
    <xdr:graphicFrame>
      <xdr:nvGraphicFramePr>
        <xdr:cNvPr id="9" name="Chart 1"/>
        <xdr:cNvGraphicFramePr/>
      </xdr:nvGraphicFramePr>
      <xdr:xfrm>
        <a:off x="6109200" y="571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70560</xdr:rowOff>
    </xdr:from>
    <xdr:to>
      <xdr:col>13</xdr:col>
      <xdr:colOff>256320</xdr:colOff>
      <xdr:row>21</xdr:row>
      <xdr:rowOff>127440</xdr:rowOff>
    </xdr:to>
    <xdr:graphicFrame>
      <xdr:nvGraphicFramePr>
        <xdr:cNvPr id="10" name="Chart 1"/>
        <xdr:cNvGraphicFramePr/>
      </xdr:nvGraphicFramePr>
      <xdr:xfrm>
        <a:off x="3642480" y="57168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70560</xdr:rowOff>
    </xdr:from>
    <xdr:to>
      <xdr:col>13</xdr:col>
      <xdr:colOff>507600</xdr:colOff>
      <xdr:row>20</xdr:row>
      <xdr:rowOff>109800</xdr:rowOff>
    </xdr:to>
    <xdr:graphicFrame>
      <xdr:nvGraphicFramePr>
        <xdr:cNvPr id="11" name="Chart 1"/>
        <xdr:cNvGraphicFramePr/>
      </xdr:nvGraphicFramePr>
      <xdr:xfrm>
        <a:off x="4206240" y="571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70560</xdr:rowOff>
    </xdr:from>
    <xdr:to>
      <xdr:col>12</xdr:col>
      <xdr:colOff>399240</xdr:colOff>
      <xdr:row>16</xdr:row>
      <xdr:rowOff>151920</xdr:rowOff>
    </xdr:to>
    <xdr:graphicFrame>
      <xdr:nvGraphicFramePr>
        <xdr:cNvPr id="12" name="Chart 1"/>
        <xdr:cNvGraphicFramePr/>
      </xdr:nvGraphicFramePr>
      <xdr:xfrm>
        <a:off x="4629240" y="5716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70560</xdr:rowOff>
    </xdr:from>
    <xdr:to>
      <xdr:col>15</xdr:col>
      <xdr:colOff>398880</xdr:colOff>
      <xdr:row>17</xdr:row>
      <xdr:rowOff>92880</xdr:rowOff>
    </xdr:to>
    <xdr:graphicFrame>
      <xdr:nvGraphicFramePr>
        <xdr:cNvPr id="13" name="Chart 1"/>
        <xdr:cNvGraphicFramePr/>
      </xdr:nvGraphicFramePr>
      <xdr:xfrm>
        <a:off x="7166520" y="5716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9.15" hidden="false" customHeight="false" outlineLevel="0" collapsed="false">
      <c r="B4" s="3" t="s">
        <v>2</v>
      </c>
      <c r="C4" s="3"/>
      <c r="D4" s="3" t="s">
        <v>3</v>
      </c>
      <c r="E4" s="3"/>
      <c r="F4" s="3" t="s">
        <v>4</v>
      </c>
      <c r="G4" s="3"/>
    </row>
    <row r="5" customFormat="false" ht="15" hidden="false" customHeight="false" outlineLevel="0" collapsed="false">
      <c r="B5" s="4" t="s">
        <v>5</v>
      </c>
      <c r="C5" s="4"/>
      <c r="D5" s="4" t="s">
        <v>6</v>
      </c>
      <c r="E5" s="4"/>
      <c r="F5" s="4" t="s">
        <v>7</v>
      </c>
      <c r="G5" s="4"/>
    </row>
    <row r="6" customFormat="false" ht="15" hidden="false" customHeight="false" outlineLevel="0" collapsed="false">
      <c r="B6" s="5" t="s">
        <v>8</v>
      </c>
      <c r="C6" s="5"/>
      <c r="D6" s="5" t="s">
        <v>9</v>
      </c>
      <c r="E6" s="5"/>
      <c r="F6" s="5" t="s">
        <v>10</v>
      </c>
      <c r="G6" s="5"/>
    </row>
    <row r="8" customFormat="false" ht="29.15" hidden="false" customHeight="false" outlineLevel="0" collapsed="false">
      <c r="B8" s="3" t="s">
        <v>11</v>
      </c>
      <c r="C8" s="3"/>
      <c r="D8" s="3" t="s">
        <v>12</v>
      </c>
      <c r="E8" s="3"/>
      <c r="F8" s="6" t="s">
        <v>13</v>
      </c>
      <c r="G8" s="6"/>
    </row>
    <row r="9" customFormat="false" ht="15" hidden="false" customHeight="false" outlineLevel="0" collapsed="false">
      <c r="B9" s="4" t="s">
        <v>14</v>
      </c>
      <c r="C9" s="4"/>
      <c r="D9" s="4" t="s">
        <v>15</v>
      </c>
      <c r="E9" s="4"/>
      <c r="F9" s="4" t="s">
        <v>16</v>
      </c>
      <c r="G9" s="4"/>
    </row>
    <row r="10" customFormat="false" ht="15" hidden="false" customHeight="false" outlineLevel="0" collapsed="false">
      <c r="B10" s="5" t="s">
        <v>17</v>
      </c>
      <c r="C10" s="5"/>
      <c r="D10" s="5" t="s">
        <v>18</v>
      </c>
      <c r="E10" s="5"/>
      <c r="F10" s="5" t="s">
        <v>19</v>
      </c>
      <c r="G10" s="5"/>
    </row>
    <row r="14" customFormat="false" ht="15" hidden="false" customHeight="false" outlineLevel="0" collapsed="false">
      <c r="B14" s="7" t="s">
        <v>20</v>
      </c>
    </row>
    <row r="15" customFormat="false" ht="25.35" hidden="false" customHeight="true" outlineLevel="0" collapsed="false">
      <c r="B15" s="8" t="s">
        <v>21</v>
      </c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B16" s="9" t="s">
        <v>22</v>
      </c>
    </row>
    <row r="17" customFormat="false" ht="15" hidden="false" customHeight="true" outlineLevel="0" collapsed="false">
      <c r="B17" s="10" t="s">
        <v>23</v>
      </c>
      <c r="C17" s="10"/>
      <c r="D17" s="10"/>
      <c r="E17" s="10"/>
      <c r="F17" s="10"/>
      <c r="G17" s="10"/>
      <c r="H17" s="10"/>
    </row>
    <row r="18" customFormat="false" ht="15" hidden="false" customHeight="false" outlineLevel="0" collapsed="false">
      <c r="B18" s="10"/>
      <c r="C18" s="10"/>
      <c r="D18" s="10"/>
      <c r="E18" s="10"/>
      <c r="F18" s="10"/>
      <c r="G18" s="10"/>
      <c r="H18" s="10"/>
    </row>
  </sheetData>
  <mergeCells count="22">
    <mergeCell ref="A1:I1"/>
    <mergeCell ref="A2:I2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5:H15"/>
    <mergeCell ref="B17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4"/>
  </cols>
  <sheetData>
    <row r="1" customFormat="false" ht="24.45" hidden="false" customHeight="fals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26</v>
      </c>
      <c r="C4" s="11" t="s">
        <v>27</v>
      </c>
      <c r="D4" s="11" t="s">
        <v>28</v>
      </c>
      <c r="E4" s="11" t="s">
        <v>29</v>
      </c>
    </row>
    <row r="5" customFormat="false" ht="15" hidden="false" customHeight="false" outlineLevel="0" collapsed="false">
      <c r="B5" s="12" t="s">
        <v>30</v>
      </c>
      <c r="C5" s="12" t="n">
        <v>8</v>
      </c>
      <c r="D5" s="12" t="n">
        <v>1</v>
      </c>
      <c r="E5" s="12" t="n">
        <v>0</v>
      </c>
    </row>
    <row r="6" customFormat="false" ht="15" hidden="false" customHeight="false" outlineLevel="0" collapsed="false">
      <c r="B6" s="13" t="s">
        <v>31</v>
      </c>
      <c r="C6" s="13" t="n">
        <v>7</v>
      </c>
      <c r="D6" s="13" t="n">
        <v>0</v>
      </c>
      <c r="E6" s="13" t="n">
        <v>1</v>
      </c>
    </row>
    <row r="7" customFormat="false" ht="15" hidden="false" customHeight="false" outlineLevel="0" collapsed="false">
      <c r="B7" s="12" t="s">
        <v>32</v>
      </c>
      <c r="C7" s="12" t="n">
        <v>7</v>
      </c>
      <c r="D7" s="12" t="n">
        <v>2</v>
      </c>
      <c r="E7" s="12" t="n">
        <v>1</v>
      </c>
    </row>
    <row r="8" customFormat="false" ht="15" hidden="false" customHeight="false" outlineLevel="0" collapsed="false">
      <c r="B8" s="13" t="s">
        <v>33</v>
      </c>
      <c r="C8" s="13" t="n">
        <v>6</v>
      </c>
      <c r="D8" s="13" t="n">
        <v>4</v>
      </c>
      <c r="E8" s="13" t="n">
        <v>0</v>
      </c>
    </row>
    <row r="9" customFormat="false" ht="15" hidden="false" customHeight="false" outlineLevel="0" collapsed="false">
      <c r="B9" s="12" t="s">
        <v>34</v>
      </c>
      <c r="C9" s="12" t="n">
        <v>5</v>
      </c>
      <c r="D9" s="12" t="n">
        <v>2</v>
      </c>
      <c r="E9" s="12" t="n">
        <v>2</v>
      </c>
    </row>
    <row r="10" customFormat="false" ht="15" hidden="false" customHeight="false" outlineLevel="0" collapsed="false">
      <c r="B10" s="13" t="s">
        <v>35</v>
      </c>
      <c r="C10" s="13" t="n">
        <v>5</v>
      </c>
      <c r="D10" s="13" t="n">
        <v>3</v>
      </c>
      <c r="E10" s="13" t="n">
        <v>1</v>
      </c>
    </row>
    <row r="11" customFormat="false" ht="15" hidden="false" customHeight="false" outlineLevel="0" collapsed="false">
      <c r="B11" s="12" t="s">
        <v>36</v>
      </c>
      <c r="C11" s="12" t="n">
        <v>4</v>
      </c>
      <c r="D11" s="12" t="n">
        <v>3</v>
      </c>
      <c r="E11" s="12" t="n">
        <v>0</v>
      </c>
    </row>
    <row r="12" customFormat="false" ht="15" hidden="false" customHeight="false" outlineLevel="0" collapsed="false">
      <c r="B12" s="13" t="s">
        <v>37</v>
      </c>
      <c r="C12" s="13" t="n">
        <v>4</v>
      </c>
      <c r="D12" s="13" t="n">
        <v>2</v>
      </c>
      <c r="E12" s="13" t="n">
        <v>2</v>
      </c>
    </row>
    <row r="13" customFormat="false" ht="15" hidden="false" customHeight="false" outlineLevel="0" collapsed="false">
      <c r="B13" s="12" t="s">
        <v>38</v>
      </c>
      <c r="C13" s="12" t="n">
        <v>3</v>
      </c>
      <c r="D13" s="12" t="n">
        <v>1</v>
      </c>
      <c r="E13" s="12" t="n">
        <v>2</v>
      </c>
    </row>
    <row r="14" customFormat="false" ht="15" hidden="false" customHeight="false" outlineLevel="0" collapsed="false">
      <c r="B14" s="13" t="s">
        <v>39</v>
      </c>
      <c r="C14" s="13" t="n">
        <v>2</v>
      </c>
      <c r="D14" s="13" t="n">
        <v>1</v>
      </c>
      <c r="E14" s="13" t="n">
        <v>1</v>
      </c>
    </row>
    <row r="17" customFormat="false" ht="15" hidden="false" customHeight="false" outlineLevel="0" collapsed="false">
      <c r="B17" s="7" t="s">
        <v>20</v>
      </c>
    </row>
    <row r="18" customFormat="false" ht="25.35" hidden="false" customHeight="true" outlineLevel="0" collapsed="false">
      <c r="B18" s="8" t="s">
        <v>40</v>
      </c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B19" s="9" t="s">
        <v>22</v>
      </c>
    </row>
    <row r="20" customFormat="false" ht="15" hidden="false" customHeight="true" outlineLevel="0" collapsed="false">
      <c r="B20" s="10" t="s">
        <v>41</v>
      </c>
      <c r="C20" s="10"/>
      <c r="D20" s="10"/>
      <c r="E20" s="10"/>
      <c r="F20" s="10"/>
      <c r="G20" s="10"/>
      <c r="H20" s="10"/>
    </row>
    <row r="21" customFormat="false" ht="15" hidden="false" customHeight="false" outlineLevel="0" collapsed="false">
      <c r="B21" s="10"/>
      <c r="C21" s="10"/>
      <c r="D21" s="10"/>
      <c r="E21" s="10"/>
      <c r="F21" s="10"/>
      <c r="G21" s="10"/>
      <c r="H21" s="10"/>
    </row>
  </sheetData>
  <mergeCells count="4">
    <mergeCell ref="A1:I1"/>
    <mergeCell ref="A2:I2"/>
    <mergeCell ref="B18:H18"/>
    <mergeCell ref="B20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20"/>
  </cols>
  <sheetData>
    <row r="1" customFormat="false" ht="24.4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44</v>
      </c>
      <c r="C4" s="11" t="s">
        <v>45</v>
      </c>
      <c r="D4" s="11" t="s">
        <v>46</v>
      </c>
    </row>
    <row r="5" customFormat="false" ht="15" hidden="false" customHeight="false" outlineLevel="0" collapsed="false">
      <c r="B5" s="12" t="s">
        <v>47</v>
      </c>
      <c r="C5" s="12" t="n">
        <v>7</v>
      </c>
      <c r="D5" s="14" t="n">
        <f aca="false">C5/SUM($C$5:$C$7)</f>
        <v>0.0875</v>
      </c>
    </row>
    <row r="6" customFormat="false" ht="15" hidden="false" customHeight="false" outlineLevel="0" collapsed="false">
      <c r="B6" s="13" t="s">
        <v>48</v>
      </c>
      <c r="C6" s="13" t="n">
        <v>40</v>
      </c>
      <c r="D6" s="15" t="n">
        <f aca="false">C6/SUM($C$5:$C$7)</f>
        <v>0.5</v>
      </c>
    </row>
    <row r="7" customFormat="false" ht="15" hidden="false" customHeight="false" outlineLevel="0" collapsed="false">
      <c r="B7" s="12" t="s">
        <v>49</v>
      </c>
      <c r="C7" s="12" t="n">
        <v>33</v>
      </c>
      <c r="D7" s="14" t="n">
        <f aca="false">C7/SUM($C$5:$C$7)</f>
        <v>0.4125</v>
      </c>
    </row>
    <row r="11" customFormat="false" ht="15" hidden="false" customHeight="false" outlineLevel="0" collapsed="false">
      <c r="B11" s="7" t="s">
        <v>20</v>
      </c>
    </row>
    <row r="12" customFormat="false" ht="25.35" hidden="false" customHeight="true" outlineLevel="0" collapsed="false">
      <c r="B12" s="8" t="s">
        <v>50</v>
      </c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B13" s="9" t="s">
        <v>22</v>
      </c>
    </row>
    <row r="14" customFormat="false" ht="15" hidden="false" customHeight="true" outlineLevel="0" collapsed="false">
      <c r="B14" s="10" t="s">
        <v>51</v>
      </c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B15" s="10"/>
      <c r="C15" s="10"/>
      <c r="D15" s="10"/>
      <c r="E15" s="10"/>
      <c r="F15" s="10"/>
      <c r="G15" s="10"/>
      <c r="H15" s="10"/>
    </row>
  </sheetData>
  <mergeCells count="4">
    <mergeCell ref="A1:I1"/>
    <mergeCell ref="A2:I2"/>
    <mergeCell ref="B12:H12"/>
    <mergeCell ref="B14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8"/>
  </cols>
  <sheetData>
    <row r="1" customFormat="false" ht="24.4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54</v>
      </c>
      <c r="C4" s="11" t="s">
        <v>55</v>
      </c>
    </row>
    <row r="5" customFormat="false" ht="15" hidden="false" customHeight="false" outlineLevel="0" collapsed="false">
      <c r="B5" s="12" t="n">
        <v>2021</v>
      </c>
      <c r="C5" s="12" t="n">
        <v>21</v>
      </c>
    </row>
    <row r="6" customFormat="false" ht="15" hidden="false" customHeight="false" outlineLevel="0" collapsed="false">
      <c r="B6" s="13" t="n">
        <v>2022</v>
      </c>
      <c r="C6" s="13" t="n">
        <v>14</v>
      </c>
    </row>
    <row r="7" customFormat="false" ht="15" hidden="false" customHeight="false" outlineLevel="0" collapsed="false">
      <c r="B7" s="12" t="n">
        <v>2023</v>
      </c>
      <c r="C7" s="12" t="n">
        <v>11</v>
      </c>
    </row>
    <row r="8" customFormat="false" ht="15" hidden="false" customHeight="false" outlineLevel="0" collapsed="false">
      <c r="B8" s="13" t="n">
        <v>2024</v>
      </c>
      <c r="C8" s="13" t="n">
        <v>16</v>
      </c>
    </row>
    <row r="9" customFormat="false" ht="15" hidden="false" customHeight="false" outlineLevel="0" collapsed="false">
      <c r="B9" s="12" t="n">
        <v>2025</v>
      </c>
      <c r="C9" s="12" t="n">
        <v>18</v>
      </c>
    </row>
    <row r="12" customFormat="false" ht="15" hidden="false" customHeight="false" outlineLevel="0" collapsed="false">
      <c r="B12" s="7" t="s">
        <v>20</v>
      </c>
    </row>
    <row r="13" customFormat="false" ht="25.35" hidden="false" customHeight="true" outlineLevel="0" collapsed="false">
      <c r="B13" s="8" t="s">
        <v>56</v>
      </c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B14" s="9" t="s">
        <v>22</v>
      </c>
    </row>
    <row r="15" customFormat="false" ht="15" hidden="false" customHeight="true" outlineLevel="0" collapsed="false">
      <c r="B15" s="10" t="s">
        <v>57</v>
      </c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B16" s="10"/>
      <c r="C16" s="10"/>
      <c r="D16" s="10"/>
      <c r="E16" s="10"/>
      <c r="F16" s="10"/>
      <c r="G16" s="10"/>
      <c r="H16" s="10"/>
    </row>
  </sheetData>
  <mergeCells count="4">
    <mergeCell ref="A1:I1"/>
    <mergeCell ref="A2:I2"/>
    <mergeCell ref="B13:H13"/>
    <mergeCell ref="B15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0"/>
  </cols>
  <sheetData>
    <row r="1" customFormat="false" ht="24.45" hidden="false" customHeight="fals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60</v>
      </c>
      <c r="C4" s="11" t="s">
        <v>61</v>
      </c>
    </row>
    <row r="5" customFormat="false" ht="15" hidden="false" customHeight="false" outlineLevel="0" collapsed="false">
      <c r="B5" s="12" t="s">
        <v>28</v>
      </c>
      <c r="C5" s="12" t="n">
        <v>3.5</v>
      </c>
    </row>
    <row r="6" customFormat="false" ht="15" hidden="false" customHeight="false" outlineLevel="0" collapsed="false">
      <c r="B6" s="13" t="s">
        <v>29</v>
      </c>
      <c r="C6" s="13" t="n">
        <v>3.3</v>
      </c>
    </row>
    <row r="7" customFormat="false" ht="15" hidden="false" customHeight="false" outlineLevel="0" collapsed="false">
      <c r="B7" s="12" t="s">
        <v>27</v>
      </c>
      <c r="C7" s="12" t="n">
        <v>2.7</v>
      </c>
    </row>
    <row r="10" customFormat="false" ht="15" hidden="false" customHeight="false" outlineLevel="0" collapsed="false">
      <c r="B10" s="7" t="s">
        <v>20</v>
      </c>
    </row>
    <row r="11" customFormat="false" ht="25.35" hidden="false" customHeight="true" outlineLevel="0" collapsed="false">
      <c r="B11" s="8" t="s">
        <v>62</v>
      </c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B12" s="9" t="s">
        <v>22</v>
      </c>
    </row>
    <row r="13" customFormat="false" ht="15" hidden="false" customHeight="true" outlineLevel="0" collapsed="false">
      <c r="B13" s="10" t="s">
        <v>63</v>
      </c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B14" s="10"/>
      <c r="C14" s="10"/>
      <c r="D14" s="10"/>
      <c r="E14" s="10"/>
      <c r="F14" s="10"/>
      <c r="G14" s="10"/>
      <c r="H14" s="10"/>
    </row>
  </sheetData>
  <mergeCells count="4">
    <mergeCell ref="A1:I1"/>
    <mergeCell ref="A2:I2"/>
    <mergeCell ref="B11:H11"/>
    <mergeCell ref="B13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8"/>
  </cols>
  <sheetData>
    <row r="1" customFormat="false" ht="24.45" hidden="false" customHeight="fals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65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44</v>
      </c>
      <c r="C4" s="11" t="s">
        <v>66</v>
      </c>
      <c r="D4" s="11" t="s">
        <v>29</v>
      </c>
      <c r="E4" s="11" t="s">
        <v>67</v>
      </c>
    </row>
    <row r="5" customFormat="false" ht="15" hidden="false" customHeight="false" outlineLevel="0" collapsed="false">
      <c r="B5" s="12" t="s">
        <v>47</v>
      </c>
      <c r="C5" s="12" t="n">
        <v>7</v>
      </c>
      <c r="D5" s="12" t="n">
        <v>1</v>
      </c>
      <c r="E5" s="16" t="n">
        <v>14.3</v>
      </c>
    </row>
    <row r="6" customFormat="false" ht="15" hidden="false" customHeight="false" outlineLevel="0" collapsed="false">
      <c r="B6" s="13" t="s">
        <v>48</v>
      </c>
      <c r="C6" s="13" t="n">
        <v>40</v>
      </c>
      <c r="D6" s="13" t="n">
        <v>7</v>
      </c>
      <c r="E6" s="17" t="n">
        <v>17.5</v>
      </c>
    </row>
    <row r="7" customFormat="false" ht="15" hidden="false" customHeight="false" outlineLevel="0" collapsed="false">
      <c r="B7" s="12" t="s">
        <v>49</v>
      </c>
      <c r="C7" s="12" t="n">
        <v>33</v>
      </c>
      <c r="D7" s="12" t="n">
        <v>2</v>
      </c>
      <c r="E7" s="16" t="n">
        <v>6.1</v>
      </c>
    </row>
    <row r="11" customFormat="false" ht="15" hidden="false" customHeight="false" outlineLevel="0" collapsed="false">
      <c r="B11" s="7" t="s">
        <v>20</v>
      </c>
    </row>
    <row r="12" customFormat="false" ht="25.35" hidden="false" customHeight="true" outlineLevel="0" collapsed="false">
      <c r="B12" s="8" t="s">
        <v>68</v>
      </c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B13" s="9" t="s">
        <v>22</v>
      </c>
    </row>
    <row r="14" customFormat="false" ht="15" hidden="false" customHeight="true" outlineLevel="0" collapsed="false">
      <c r="B14" s="10" t="s">
        <v>69</v>
      </c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B15" s="10"/>
      <c r="C15" s="10"/>
      <c r="D15" s="10"/>
      <c r="E15" s="10"/>
      <c r="F15" s="10"/>
      <c r="G15" s="10"/>
      <c r="H15" s="10"/>
    </row>
  </sheetData>
  <mergeCells count="4">
    <mergeCell ref="A1:I1"/>
    <mergeCell ref="A2:I2"/>
    <mergeCell ref="B12:H12"/>
    <mergeCell ref="B14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6"/>
  </cols>
  <sheetData>
    <row r="1" customFormat="false" ht="24.45" hidden="false" customHeight="fals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60</v>
      </c>
      <c r="C4" s="11" t="s">
        <v>45</v>
      </c>
    </row>
    <row r="5" customFormat="false" ht="15" hidden="false" customHeight="false" outlineLevel="0" collapsed="false">
      <c r="B5" s="12" t="s">
        <v>27</v>
      </c>
      <c r="C5" s="12" t="n">
        <v>51</v>
      </c>
    </row>
    <row r="6" customFormat="false" ht="15" hidden="false" customHeight="false" outlineLevel="0" collapsed="false">
      <c r="B6" s="13" t="s">
        <v>28</v>
      </c>
      <c r="C6" s="13" t="n">
        <v>19</v>
      </c>
    </row>
    <row r="7" customFormat="false" ht="15" hidden="false" customHeight="false" outlineLevel="0" collapsed="false">
      <c r="B7" s="12" t="s">
        <v>29</v>
      </c>
      <c r="C7" s="12" t="n">
        <v>10</v>
      </c>
    </row>
    <row r="12" customFormat="false" ht="15" hidden="false" customHeight="false" outlineLevel="0" collapsed="false">
      <c r="B12" s="11" t="s">
        <v>72</v>
      </c>
      <c r="C12" s="11" t="s">
        <v>45</v>
      </c>
    </row>
    <row r="13" customFormat="false" ht="15" hidden="false" customHeight="false" outlineLevel="0" collapsed="false">
      <c r="B13" s="12" t="s">
        <v>73</v>
      </c>
      <c r="C13" s="12" t="n">
        <v>58</v>
      </c>
    </row>
    <row r="14" customFormat="false" ht="15" hidden="false" customHeight="false" outlineLevel="0" collapsed="false">
      <c r="B14" s="13" t="s">
        <v>74</v>
      </c>
      <c r="C14" s="13" t="n">
        <v>22</v>
      </c>
    </row>
    <row r="21" customFormat="false" ht="15" hidden="false" customHeight="false" outlineLevel="0" collapsed="false">
      <c r="B21" s="7" t="s">
        <v>20</v>
      </c>
    </row>
    <row r="22" customFormat="false" ht="25.35" hidden="false" customHeight="true" outlineLevel="0" collapsed="false">
      <c r="B22" s="8" t="s">
        <v>75</v>
      </c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B23" s="9" t="s">
        <v>22</v>
      </c>
    </row>
    <row r="24" customFormat="false" ht="15" hidden="false" customHeight="true" outlineLevel="0" collapsed="false">
      <c r="B24" s="10" t="s">
        <v>76</v>
      </c>
      <c r="C24" s="10"/>
      <c r="D24" s="10"/>
      <c r="E24" s="10"/>
      <c r="F24" s="10"/>
      <c r="G24" s="10"/>
      <c r="H24" s="10"/>
    </row>
    <row r="25" customFormat="false" ht="15" hidden="false" customHeight="false" outlineLevel="0" collapsed="false">
      <c r="B25" s="10"/>
      <c r="C25" s="10"/>
      <c r="D25" s="10"/>
      <c r="E25" s="10"/>
      <c r="F25" s="10"/>
      <c r="G25" s="10"/>
      <c r="H25" s="10"/>
    </row>
  </sheetData>
  <mergeCells count="4">
    <mergeCell ref="A1:I1"/>
    <mergeCell ref="A2:I2"/>
    <mergeCell ref="B22:H22"/>
    <mergeCell ref="B24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</cols>
  <sheetData>
    <row r="1" customFormat="false" ht="24.45" hidden="false" customHeight="fals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78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79</v>
      </c>
      <c r="C4" s="11" t="s">
        <v>80</v>
      </c>
      <c r="D4" s="11" t="s">
        <v>81</v>
      </c>
      <c r="E4" s="11" t="s">
        <v>82</v>
      </c>
    </row>
    <row r="5" customFormat="false" ht="15" hidden="false" customHeight="false" outlineLevel="0" collapsed="false">
      <c r="B5" s="12" t="s">
        <v>83</v>
      </c>
      <c r="C5" s="12" t="n">
        <v>8</v>
      </c>
      <c r="D5" s="12" t="n">
        <v>342</v>
      </c>
      <c r="E5" s="12" t="n">
        <v>1504</v>
      </c>
    </row>
    <row r="6" customFormat="false" ht="15" hidden="false" customHeight="false" outlineLevel="0" collapsed="false">
      <c r="B6" s="13" t="s">
        <v>84</v>
      </c>
      <c r="C6" s="13" t="n">
        <v>7</v>
      </c>
      <c r="D6" s="13" t="n">
        <v>213</v>
      </c>
      <c r="E6" s="13" t="n">
        <v>1686</v>
      </c>
    </row>
    <row r="7" customFormat="false" ht="15" hidden="false" customHeight="false" outlineLevel="0" collapsed="false">
      <c r="B7" s="12" t="s">
        <v>85</v>
      </c>
      <c r="C7" s="12" t="n">
        <v>5</v>
      </c>
      <c r="D7" s="12" t="n">
        <v>202</v>
      </c>
      <c r="E7" s="12" t="n">
        <v>1820</v>
      </c>
    </row>
    <row r="8" customFormat="false" ht="15" hidden="false" customHeight="false" outlineLevel="0" collapsed="false">
      <c r="B8" s="13" t="s">
        <v>86</v>
      </c>
      <c r="C8" s="13" t="n">
        <v>7</v>
      </c>
      <c r="D8" s="13" t="n">
        <v>196</v>
      </c>
      <c r="E8" s="13" t="n">
        <v>4707</v>
      </c>
    </row>
    <row r="9" customFormat="false" ht="15" hidden="false" customHeight="false" outlineLevel="0" collapsed="false">
      <c r="B9" s="12" t="s">
        <v>87</v>
      </c>
      <c r="C9" s="12" t="n">
        <v>5</v>
      </c>
      <c r="D9" s="12" t="n">
        <v>196</v>
      </c>
      <c r="E9" s="12" t="n">
        <v>5837</v>
      </c>
    </row>
    <row r="10" customFormat="false" ht="15" hidden="false" customHeight="false" outlineLevel="0" collapsed="false">
      <c r="B10" s="13" t="s">
        <v>88</v>
      </c>
      <c r="C10" s="13" t="n">
        <v>6</v>
      </c>
      <c r="D10" s="13" t="n">
        <v>188</v>
      </c>
      <c r="E10" s="13" t="n">
        <v>3507</v>
      </c>
    </row>
    <row r="11" customFormat="false" ht="15" hidden="false" customHeight="false" outlineLevel="0" collapsed="false">
      <c r="B11" s="12" t="s">
        <v>89</v>
      </c>
      <c r="C11" s="12" t="n">
        <v>6</v>
      </c>
      <c r="D11" s="12" t="n">
        <v>184</v>
      </c>
      <c r="E11" s="12" t="n">
        <v>1814</v>
      </c>
    </row>
    <row r="12" customFormat="false" ht="15" hidden="false" customHeight="false" outlineLevel="0" collapsed="false">
      <c r="B12" s="13" t="s">
        <v>90</v>
      </c>
      <c r="C12" s="13" t="n">
        <v>5</v>
      </c>
      <c r="D12" s="13" t="n">
        <v>179</v>
      </c>
      <c r="E12" s="13" t="n">
        <v>4087</v>
      </c>
    </row>
    <row r="13" customFormat="false" ht="15" hidden="false" customHeight="false" outlineLevel="0" collapsed="false">
      <c r="B13" s="12" t="s">
        <v>91</v>
      </c>
      <c r="C13" s="12" t="n">
        <v>6</v>
      </c>
      <c r="D13" s="12" t="n">
        <v>164</v>
      </c>
      <c r="E13" s="12" t="n">
        <v>3148</v>
      </c>
    </row>
    <row r="14" customFormat="false" ht="15" hidden="false" customHeight="false" outlineLevel="0" collapsed="false">
      <c r="B14" s="13" t="s">
        <v>92</v>
      </c>
      <c r="C14" s="13" t="n">
        <v>5</v>
      </c>
      <c r="D14" s="13" t="n">
        <v>158</v>
      </c>
      <c r="E14" s="13" t="n">
        <v>3154</v>
      </c>
    </row>
    <row r="17" customFormat="false" ht="15" hidden="false" customHeight="false" outlineLevel="0" collapsed="false">
      <c r="B17" s="7" t="s">
        <v>20</v>
      </c>
    </row>
    <row r="18" customFormat="false" ht="25.35" hidden="false" customHeight="true" outlineLevel="0" collapsed="false">
      <c r="B18" s="8" t="s">
        <v>93</v>
      </c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B19" s="9" t="s">
        <v>22</v>
      </c>
    </row>
    <row r="20" customFormat="false" ht="15" hidden="false" customHeight="true" outlineLevel="0" collapsed="false">
      <c r="B20" s="10" t="s">
        <v>94</v>
      </c>
      <c r="C20" s="10"/>
      <c r="D20" s="10"/>
      <c r="E20" s="10"/>
      <c r="F20" s="10"/>
      <c r="G20" s="10"/>
      <c r="H20" s="10"/>
    </row>
    <row r="21" customFormat="false" ht="15" hidden="false" customHeight="false" outlineLevel="0" collapsed="false">
      <c r="B21" s="10"/>
      <c r="C21" s="10"/>
      <c r="D21" s="10"/>
      <c r="E21" s="10"/>
      <c r="F21" s="10"/>
      <c r="G21" s="10"/>
      <c r="H21" s="10"/>
    </row>
  </sheetData>
  <mergeCells count="4">
    <mergeCell ref="A1:I1"/>
    <mergeCell ref="A2:I2"/>
    <mergeCell ref="B18:H18"/>
    <mergeCell ref="B20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5"/>
  </cols>
  <sheetData>
    <row r="1" customFormat="false" ht="24.45" hidden="false" customHeight="fals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96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79</v>
      </c>
      <c r="C4" s="11" t="s">
        <v>97</v>
      </c>
      <c r="D4" s="11" t="s">
        <v>98</v>
      </c>
      <c r="E4" s="11" t="s">
        <v>99</v>
      </c>
      <c r="F4" s="11" t="s">
        <v>100</v>
      </c>
    </row>
    <row r="5" customFormat="false" ht="15" hidden="false" customHeight="false" outlineLevel="0" collapsed="false">
      <c r="B5" s="12" t="s">
        <v>84</v>
      </c>
      <c r="C5" s="12" t="s">
        <v>101</v>
      </c>
      <c r="D5" s="12" t="n">
        <v>100</v>
      </c>
      <c r="E5" s="12" t="n">
        <v>213</v>
      </c>
      <c r="F5" s="12" t="n">
        <v>113</v>
      </c>
    </row>
    <row r="6" customFormat="false" ht="15" hidden="false" customHeight="false" outlineLevel="0" collapsed="false">
      <c r="B6" s="13" t="s">
        <v>88</v>
      </c>
      <c r="C6" s="13" t="s">
        <v>102</v>
      </c>
      <c r="D6" s="13" t="n">
        <v>100</v>
      </c>
      <c r="E6" s="13" t="n">
        <v>188</v>
      </c>
      <c r="F6" s="13" t="n">
        <v>88</v>
      </c>
    </row>
    <row r="7" customFormat="false" ht="15" hidden="false" customHeight="false" outlineLevel="0" collapsed="false">
      <c r="B7" s="12" t="s">
        <v>103</v>
      </c>
      <c r="C7" s="12" t="s">
        <v>101</v>
      </c>
      <c r="D7" s="12" t="n">
        <v>100</v>
      </c>
      <c r="E7" s="12" t="n">
        <v>119</v>
      </c>
      <c r="F7" s="12" t="n">
        <v>19</v>
      </c>
    </row>
    <row r="8" customFormat="false" ht="15" hidden="false" customHeight="false" outlineLevel="0" collapsed="false">
      <c r="B8" s="13" t="s">
        <v>104</v>
      </c>
      <c r="C8" s="13" t="s">
        <v>105</v>
      </c>
      <c r="D8" s="13" t="n">
        <v>100</v>
      </c>
      <c r="E8" s="13" t="n">
        <v>110</v>
      </c>
      <c r="F8" s="13" t="n">
        <v>10</v>
      </c>
    </row>
    <row r="11" customFormat="false" ht="15" hidden="false" customHeight="false" outlineLevel="0" collapsed="false">
      <c r="B11" s="7" t="s">
        <v>20</v>
      </c>
    </row>
    <row r="12" customFormat="false" ht="25.35" hidden="false" customHeight="true" outlineLevel="0" collapsed="false">
      <c r="B12" s="8" t="s">
        <v>106</v>
      </c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B13" s="9" t="s">
        <v>22</v>
      </c>
    </row>
    <row r="14" customFormat="false" ht="15" hidden="false" customHeight="true" outlineLevel="0" collapsed="false">
      <c r="B14" s="10" t="s">
        <v>107</v>
      </c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B15" s="10"/>
      <c r="C15" s="10"/>
      <c r="D15" s="10"/>
      <c r="E15" s="10"/>
      <c r="F15" s="10"/>
      <c r="G15" s="10"/>
      <c r="H15" s="10"/>
    </row>
  </sheetData>
  <mergeCells count="4">
    <mergeCell ref="A1:I1"/>
    <mergeCell ref="A2:I2"/>
    <mergeCell ref="B12:H12"/>
    <mergeCell ref="B14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5"/>
  </cols>
  <sheetData>
    <row r="1" customFormat="false" ht="24.45" hidden="false" customHeight="fals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109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79</v>
      </c>
      <c r="C4" s="11" t="s">
        <v>97</v>
      </c>
      <c r="D4" s="11" t="s">
        <v>110</v>
      </c>
      <c r="E4" s="11" t="s">
        <v>111</v>
      </c>
      <c r="F4" s="11" t="s">
        <v>112</v>
      </c>
    </row>
    <row r="5" customFormat="false" ht="15" hidden="false" customHeight="false" outlineLevel="0" collapsed="false">
      <c r="B5" s="12" t="s">
        <v>113</v>
      </c>
      <c r="C5" s="12" t="s">
        <v>105</v>
      </c>
      <c r="D5" s="12" t="n">
        <v>1024</v>
      </c>
      <c r="E5" s="12" t="n">
        <v>5805</v>
      </c>
      <c r="F5" s="12" t="n">
        <v>4781</v>
      </c>
    </row>
    <row r="6" customFormat="false" ht="15" hidden="false" customHeight="false" outlineLevel="0" collapsed="false">
      <c r="B6" s="13" t="s">
        <v>104</v>
      </c>
      <c r="C6" s="13" t="s">
        <v>105</v>
      </c>
      <c r="D6" s="13" t="n">
        <v>1024</v>
      </c>
      <c r="E6" s="13" t="n">
        <v>5160</v>
      </c>
      <c r="F6" s="13" t="n">
        <v>4136</v>
      </c>
    </row>
    <row r="7" customFormat="false" ht="15" hidden="false" customHeight="false" outlineLevel="0" collapsed="false">
      <c r="B7" s="12" t="s">
        <v>114</v>
      </c>
      <c r="C7" s="12" t="s">
        <v>115</v>
      </c>
      <c r="D7" s="12" t="n">
        <v>2048</v>
      </c>
      <c r="E7" s="12" t="n">
        <v>5591</v>
      </c>
      <c r="F7" s="12" t="n">
        <v>3543</v>
      </c>
    </row>
    <row r="8" customFormat="false" ht="15" hidden="false" customHeight="false" outlineLevel="0" collapsed="false">
      <c r="B8" s="13" t="s">
        <v>116</v>
      </c>
      <c r="C8" s="13" t="s">
        <v>117</v>
      </c>
      <c r="D8" s="13" t="n">
        <v>2048</v>
      </c>
      <c r="E8" s="13" t="n">
        <v>5349</v>
      </c>
      <c r="F8" s="13" t="n">
        <v>3301</v>
      </c>
    </row>
    <row r="9" customFormat="false" ht="15" hidden="false" customHeight="false" outlineLevel="0" collapsed="false">
      <c r="B9" s="12" t="s">
        <v>118</v>
      </c>
      <c r="C9" s="12" t="s">
        <v>119</v>
      </c>
      <c r="D9" s="12" t="n">
        <v>2048</v>
      </c>
      <c r="E9" s="12" t="n">
        <v>4944</v>
      </c>
      <c r="F9" s="12" t="n">
        <v>2896</v>
      </c>
    </row>
    <row r="10" customFormat="false" ht="15" hidden="false" customHeight="false" outlineLevel="0" collapsed="false">
      <c r="B10" s="13" t="s">
        <v>120</v>
      </c>
      <c r="C10" s="13" t="s">
        <v>115</v>
      </c>
      <c r="D10" s="13" t="n">
        <v>2048</v>
      </c>
      <c r="E10" s="13" t="n">
        <v>3903</v>
      </c>
      <c r="F10" s="13" t="n">
        <v>1855</v>
      </c>
    </row>
    <row r="11" customFormat="false" ht="15" hidden="false" customHeight="false" outlineLevel="0" collapsed="false">
      <c r="B11" s="12" t="s">
        <v>121</v>
      </c>
      <c r="C11" s="12" t="s">
        <v>115</v>
      </c>
      <c r="D11" s="12" t="n">
        <v>2048</v>
      </c>
      <c r="E11" s="12" t="n">
        <v>3811</v>
      </c>
      <c r="F11" s="12" t="n">
        <v>1763</v>
      </c>
    </row>
    <row r="12" customFormat="false" ht="15" hidden="false" customHeight="false" outlineLevel="0" collapsed="false">
      <c r="B12" s="13" t="s">
        <v>122</v>
      </c>
      <c r="C12" s="13" t="s">
        <v>123</v>
      </c>
      <c r="D12" s="13" t="n">
        <v>2048</v>
      </c>
      <c r="E12" s="13" t="n">
        <v>3422</v>
      </c>
      <c r="F12" s="13" t="n">
        <v>1374</v>
      </c>
    </row>
    <row r="13" customFormat="false" ht="15" hidden="false" customHeight="false" outlineLevel="0" collapsed="false">
      <c r="B13" s="12" t="s">
        <v>124</v>
      </c>
      <c r="C13" s="12" t="s">
        <v>105</v>
      </c>
      <c r="D13" s="12" t="n">
        <v>1024</v>
      </c>
      <c r="E13" s="12" t="n">
        <v>2232</v>
      </c>
      <c r="F13" s="12" t="n">
        <v>1208</v>
      </c>
    </row>
    <row r="14" customFormat="false" ht="15" hidden="false" customHeight="false" outlineLevel="0" collapsed="false">
      <c r="B14" s="13" t="s">
        <v>125</v>
      </c>
      <c r="C14" s="13" t="s">
        <v>126</v>
      </c>
      <c r="D14" s="13" t="n">
        <v>2048</v>
      </c>
      <c r="E14" s="13" t="n">
        <v>3181</v>
      </c>
      <c r="F14" s="13" t="n">
        <v>1133</v>
      </c>
    </row>
    <row r="17" customFormat="false" ht="15" hidden="false" customHeight="false" outlineLevel="0" collapsed="false">
      <c r="B17" s="7" t="s">
        <v>20</v>
      </c>
    </row>
    <row r="18" customFormat="false" ht="37.3" hidden="false" customHeight="true" outlineLevel="0" collapsed="false">
      <c r="B18" s="8" t="s">
        <v>127</v>
      </c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B19" s="9" t="s">
        <v>22</v>
      </c>
    </row>
    <row r="20" customFormat="false" ht="15" hidden="false" customHeight="true" outlineLevel="0" collapsed="false">
      <c r="B20" s="10" t="s">
        <v>128</v>
      </c>
      <c r="C20" s="10"/>
      <c r="D20" s="10"/>
      <c r="E20" s="10"/>
      <c r="F20" s="10"/>
      <c r="G20" s="10"/>
      <c r="H20" s="10"/>
    </row>
    <row r="21" customFormat="false" ht="15" hidden="false" customHeight="false" outlineLevel="0" collapsed="false">
      <c r="B21" s="10"/>
      <c r="C21" s="10"/>
      <c r="D21" s="10"/>
      <c r="E21" s="10"/>
      <c r="F21" s="10"/>
      <c r="G21" s="10"/>
      <c r="H21" s="10"/>
    </row>
  </sheetData>
  <mergeCells count="4">
    <mergeCell ref="A1:I1"/>
    <mergeCell ref="A2:I2"/>
    <mergeCell ref="B18:H18"/>
    <mergeCell ref="B20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24.45" hidden="false" customHeight="fals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130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131</v>
      </c>
      <c r="C4" s="11" t="s">
        <v>132</v>
      </c>
    </row>
    <row r="5" customFormat="false" ht="15" hidden="false" customHeight="false" outlineLevel="0" collapsed="false">
      <c r="B5" s="12" t="s">
        <v>133</v>
      </c>
      <c r="C5" s="18" t="n">
        <v>3093.36</v>
      </c>
    </row>
    <row r="6" customFormat="false" ht="15" hidden="false" customHeight="false" outlineLevel="0" collapsed="false">
      <c r="B6" s="13" t="s">
        <v>134</v>
      </c>
      <c r="C6" s="19" t="n">
        <v>1960.16</v>
      </c>
    </row>
    <row r="7" customFormat="false" ht="15" hidden="false" customHeight="false" outlineLevel="0" collapsed="false">
      <c r="B7" s="12" t="s">
        <v>105</v>
      </c>
      <c r="C7" s="18" t="n">
        <v>1883.96</v>
      </c>
    </row>
    <row r="8" customFormat="false" ht="15" hidden="false" customHeight="false" outlineLevel="0" collapsed="false">
      <c r="B8" s="13" t="s">
        <v>115</v>
      </c>
      <c r="C8" s="19" t="n">
        <v>1825.75</v>
      </c>
    </row>
    <row r="9" customFormat="false" ht="15" hidden="false" customHeight="false" outlineLevel="0" collapsed="false">
      <c r="B9" s="12" t="s">
        <v>135</v>
      </c>
      <c r="C9" s="18" t="n">
        <v>1821.14</v>
      </c>
    </row>
    <row r="10" customFormat="false" ht="15" hidden="false" customHeight="false" outlineLevel="0" collapsed="false">
      <c r="B10" s="13" t="s">
        <v>136</v>
      </c>
      <c r="C10" s="19" t="n">
        <v>1418.87</v>
      </c>
    </row>
    <row r="11" customFormat="false" ht="15" hidden="false" customHeight="false" outlineLevel="0" collapsed="false">
      <c r="B11" s="12" t="s">
        <v>137</v>
      </c>
      <c r="C11" s="18" t="n">
        <v>1361.89</v>
      </c>
    </row>
    <row r="12" customFormat="false" ht="15" hidden="false" customHeight="false" outlineLevel="0" collapsed="false">
      <c r="B12" s="13" t="s">
        <v>101</v>
      </c>
      <c r="C12" s="19" t="n">
        <v>1339.23</v>
      </c>
    </row>
    <row r="13" customFormat="false" ht="15" hidden="false" customHeight="false" outlineLevel="0" collapsed="false">
      <c r="B13" s="12" t="s">
        <v>138</v>
      </c>
      <c r="C13" s="18" t="n">
        <v>1179.25</v>
      </c>
    </row>
    <row r="14" customFormat="false" ht="15" hidden="false" customHeight="false" outlineLevel="0" collapsed="false">
      <c r="B14" s="13" t="s">
        <v>139</v>
      </c>
      <c r="C14" s="19" t="n">
        <v>1173.37</v>
      </c>
    </row>
    <row r="15" customFormat="false" ht="15" hidden="false" customHeight="false" outlineLevel="0" collapsed="false">
      <c r="B15" s="12" t="s">
        <v>117</v>
      </c>
      <c r="C15" s="18" t="n">
        <v>1015.94</v>
      </c>
    </row>
    <row r="16" customFormat="false" ht="15" hidden="false" customHeight="false" outlineLevel="0" collapsed="false">
      <c r="B16" s="13" t="s">
        <v>140</v>
      </c>
      <c r="C16" s="19" t="n">
        <v>850.48</v>
      </c>
    </row>
    <row r="19" customFormat="false" ht="15" hidden="false" customHeight="false" outlineLevel="0" collapsed="false">
      <c r="B19" s="7" t="s">
        <v>20</v>
      </c>
    </row>
    <row r="20" customFormat="false" ht="37.3" hidden="false" customHeight="true" outlineLevel="0" collapsed="false">
      <c r="B20" s="8" t="s">
        <v>141</v>
      </c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B21" s="9" t="s">
        <v>22</v>
      </c>
    </row>
    <row r="22" customFormat="false" ht="15" hidden="false" customHeight="true" outlineLevel="0" collapsed="false">
      <c r="B22" s="10" t="s">
        <v>142</v>
      </c>
      <c r="C22" s="10"/>
      <c r="D22" s="10"/>
      <c r="E22" s="10"/>
      <c r="F22" s="10"/>
      <c r="G22" s="10"/>
      <c r="H22" s="10"/>
    </row>
    <row r="23" customFormat="false" ht="15" hidden="false" customHeight="false" outlineLevel="0" collapsed="false">
      <c r="B23" s="10"/>
      <c r="C23" s="10"/>
      <c r="D23" s="10"/>
      <c r="E23" s="10"/>
      <c r="F23" s="10"/>
      <c r="G23" s="10"/>
      <c r="H23" s="10"/>
    </row>
  </sheetData>
  <mergeCells count="4">
    <mergeCell ref="A1:I1"/>
    <mergeCell ref="A2:I2"/>
    <mergeCell ref="B20:H20"/>
    <mergeCell ref="B22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4"/>
  </cols>
  <sheetData>
    <row r="1" customFormat="false" ht="24.45" hidden="false" customHeight="fals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144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79</v>
      </c>
      <c r="C4" s="11" t="s">
        <v>26</v>
      </c>
      <c r="D4" s="11" t="s">
        <v>145</v>
      </c>
    </row>
    <row r="5" customFormat="false" ht="15" hidden="false" customHeight="false" outlineLevel="0" collapsed="false">
      <c r="B5" s="12" t="s">
        <v>85</v>
      </c>
      <c r="C5" s="12" t="s">
        <v>37</v>
      </c>
      <c r="D5" s="20" t="n">
        <v>429.5</v>
      </c>
    </row>
    <row r="6" customFormat="false" ht="15" hidden="false" customHeight="false" outlineLevel="0" collapsed="false">
      <c r="B6" s="13" t="s">
        <v>146</v>
      </c>
      <c r="C6" s="13" t="s">
        <v>32</v>
      </c>
      <c r="D6" s="21" t="n">
        <v>250.09</v>
      </c>
    </row>
    <row r="7" customFormat="false" ht="15" hidden="false" customHeight="false" outlineLevel="0" collapsed="false">
      <c r="B7" s="12" t="s">
        <v>147</v>
      </c>
      <c r="C7" s="12" t="s">
        <v>36</v>
      </c>
      <c r="D7" s="20" t="n">
        <v>237.75</v>
      </c>
    </row>
    <row r="8" customFormat="false" ht="15" hidden="false" customHeight="false" outlineLevel="0" collapsed="false">
      <c r="B8" s="13" t="s">
        <v>84</v>
      </c>
      <c r="C8" s="13" t="s">
        <v>32</v>
      </c>
      <c r="D8" s="21" t="n">
        <v>205.49</v>
      </c>
    </row>
    <row r="9" customFormat="false" ht="15" hidden="false" customHeight="false" outlineLevel="0" collapsed="false">
      <c r="B9" s="12" t="s">
        <v>148</v>
      </c>
      <c r="C9" s="12" t="s">
        <v>34</v>
      </c>
      <c r="D9" s="20" t="n">
        <v>190.61</v>
      </c>
    </row>
    <row r="10" customFormat="false" ht="15" hidden="false" customHeight="false" outlineLevel="0" collapsed="false">
      <c r="B10" s="13" t="s">
        <v>149</v>
      </c>
      <c r="C10" s="13" t="s">
        <v>33</v>
      </c>
      <c r="D10" s="21" t="n">
        <v>184.57</v>
      </c>
    </row>
    <row r="11" customFormat="false" ht="15" hidden="false" customHeight="false" outlineLevel="0" collapsed="false">
      <c r="B11" s="12" t="s">
        <v>150</v>
      </c>
      <c r="C11" s="12" t="s">
        <v>36</v>
      </c>
      <c r="D11" s="20" t="n">
        <v>180.78</v>
      </c>
    </row>
    <row r="12" customFormat="false" ht="15" hidden="false" customHeight="false" outlineLevel="0" collapsed="false">
      <c r="B12" s="13" t="s">
        <v>118</v>
      </c>
      <c r="C12" s="13" t="s">
        <v>32</v>
      </c>
      <c r="D12" s="21" t="n">
        <v>170.16</v>
      </c>
    </row>
    <row r="13" customFormat="false" ht="15" hidden="false" customHeight="false" outlineLevel="0" collapsed="false">
      <c r="B13" s="12" t="s">
        <v>116</v>
      </c>
      <c r="C13" s="12" t="s">
        <v>32</v>
      </c>
      <c r="D13" s="20" t="n">
        <v>166.14</v>
      </c>
    </row>
    <row r="14" customFormat="false" ht="15" hidden="false" customHeight="false" outlineLevel="0" collapsed="false">
      <c r="B14" s="13" t="s">
        <v>151</v>
      </c>
      <c r="C14" s="13" t="s">
        <v>33</v>
      </c>
      <c r="D14" s="21" t="n">
        <v>158.5</v>
      </c>
    </row>
    <row r="17" customFormat="false" ht="15" hidden="false" customHeight="false" outlineLevel="0" collapsed="false">
      <c r="B17" s="7" t="s">
        <v>20</v>
      </c>
    </row>
    <row r="18" customFormat="false" ht="25.35" hidden="false" customHeight="true" outlineLevel="0" collapsed="false">
      <c r="B18" s="8" t="s">
        <v>152</v>
      </c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B19" s="9" t="s">
        <v>22</v>
      </c>
    </row>
    <row r="20" customFormat="false" ht="15" hidden="false" customHeight="true" outlineLevel="0" collapsed="false">
      <c r="B20" s="10" t="s">
        <v>153</v>
      </c>
      <c r="C20" s="10"/>
      <c r="D20" s="10"/>
      <c r="E20" s="10"/>
      <c r="F20" s="10"/>
      <c r="G20" s="10"/>
      <c r="H20" s="10"/>
    </row>
    <row r="21" customFormat="false" ht="15" hidden="false" customHeight="false" outlineLevel="0" collapsed="false">
      <c r="B21" s="10"/>
      <c r="C21" s="10"/>
      <c r="D21" s="10"/>
      <c r="E21" s="10"/>
      <c r="F21" s="10"/>
      <c r="G21" s="10"/>
      <c r="H21" s="10"/>
    </row>
  </sheetData>
  <mergeCells count="4">
    <mergeCell ref="A1:I1"/>
    <mergeCell ref="A2:I2"/>
    <mergeCell ref="B18:H18"/>
    <mergeCell ref="B20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8"/>
  </cols>
  <sheetData>
    <row r="1" customFormat="false" ht="24.45" hidden="false" customHeight="fals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155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60</v>
      </c>
      <c r="C4" s="11" t="s">
        <v>156</v>
      </c>
      <c r="D4" s="11" t="s">
        <v>46</v>
      </c>
    </row>
    <row r="5" customFormat="false" ht="15" hidden="false" customHeight="false" outlineLevel="0" collapsed="false">
      <c r="B5" s="12" t="s">
        <v>157</v>
      </c>
      <c r="C5" s="12" t="n">
        <v>265</v>
      </c>
      <c r="D5" s="14" t="n">
        <f aca="false">C5/SUM($C$5:$C$7)</f>
        <v>0.588888888888889</v>
      </c>
    </row>
    <row r="6" customFormat="false" ht="15" hidden="false" customHeight="false" outlineLevel="0" collapsed="false">
      <c r="B6" s="13" t="s">
        <v>158</v>
      </c>
      <c r="C6" s="13" t="n">
        <v>98</v>
      </c>
      <c r="D6" s="15" t="n">
        <f aca="false">C6/SUM($C$5:$C$7)</f>
        <v>0.217777777777778</v>
      </c>
    </row>
    <row r="7" customFormat="false" ht="15" hidden="false" customHeight="false" outlineLevel="0" collapsed="false">
      <c r="B7" s="12" t="s">
        <v>159</v>
      </c>
      <c r="C7" s="12" t="n">
        <v>87</v>
      </c>
      <c r="D7" s="14" t="n">
        <f aca="false">C7/SUM($C$5:$C$7)</f>
        <v>0.193333333333333</v>
      </c>
    </row>
    <row r="11" customFormat="false" ht="15" hidden="false" customHeight="false" outlineLevel="0" collapsed="false">
      <c r="B11" s="7" t="s">
        <v>20</v>
      </c>
    </row>
    <row r="12" customFormat="false" ht="25.35" hidden="false" customHeight="true" outlineLevel="0" collapsed="false">
      <c r="B12" s="8" t="s">
        <v>160</v>
      </c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B13" s="9" t="s">
        <v>22</v>
      </c>
    </row>
    <row r="14" customFormat="false" ht="15" hidden="false" customHeight="true" outlineLevel="0" collapsed="false">
      <c r="B14" s="10" t="s">
        <v>161</v>
      </c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B15" s="10"/>
      <c r="C15" s="10"/>
      <c r="D15" s="10"/>
      <c r="E15" s="10"/>
      <c r="F15" s="10"/>
      <c r="G15" s="10"/>
      <c r="H15" s="10"/>
    </row>
  </sheetData>
  <mergeCells count="4">
    <mergeCell ref="A1:I1"/>
    <mergeCell ref="A2:I2"/>
    <mergeCell ref="B12:H12"/>
    <mergeCell ref="B14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5"/>
  </cols>
  <sheetData>
    <row r="1" customFormat="false" ht="24.45" hidden="false" customHeight="false" outlineLevel="0" collapsed="false">
      <c r="A1" s="1" t="s">
        <v>162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163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1" t="s">
        <v>164</v>
      </c>
      <c r="C4" s="11" t="s">
        <v>79</v>
      </c>
      <c r="D4" s="11" t="s">
        <v>26</v>
      </c>
      <c r="E4" s="11" t="s">
        <v>165</v>
      </c>
      <c r="F4" s="11" t="s">
        <v>166</v>
      </c>
      <c r="G4" s="11" t="s">
        <v>167</v>
      </c>
    </row>
    <row r="5" customFormat="false" ht="15" hidden="false" customHeight="false" outlineLevel="0" collapsed="false">
      <c r="B5" s="12" t="n">
        <v>101</v>
      </c>
      <c r="C5" s="12" t="s">
        <v>168</v>
      </c>
      <c r="D5" s="12" t="s">
        <v>39</v>
      </c>
      <c r="E5" s="12" t="s">
        <v>28</v>
      </c>
      <c r="F5" s="12" t="s">
        <v>158</v>
      </c>
      <c r="G5" s="12" t="s">
        <v>169</v>
      </c>
    </row>
    <row r="6" customFormat="false" ht="15" hidden="false" customHeight="false" outlineLevel="0" collapsed="false">
      <c r="B6" s="13" t="n">
        <v>104</v>
      </c>
      <c r="C6" s="13" t="s">
        <v>103</v>
      </c>
      <c r="D6" s="13" t="s">
        <v>37</v>
      </c>
      <c r="E6" s="13" t="s">
        <v>29</v>
      </c>
      <c r="F6" s="13" t="s">
        <v>158</v>
      </c>
      <c r="G6" s="13" t="s">
        <v>169</v>
      </c>
    </row>
    <row r="7" customFormat="false" ht="15" hidden="false" customHeight="false" outlineLevel="0" collapsed="false">
      <c r="B7" s="12" t="n">
        <v>122</v>
      </c>
      <c r="C7" s="12" t="s">
        <v>125</v>
      </c>
      <c r="D7" s="12" t="s">
        <v>31</v>
      </c>
      <c r="E7" s="22" t="s">
        <v>27</v>
      </c>
      <c r="F7" s="12" t="s">
        <v>158</v>
      </c>
      <c r="G7" s="12" t="s">
        <v>169</v>
      </c>
    </row>
    <row r="8" customFormat="false" ht="15" hidden="false" customHeight="false" outlineLevel="0" collapsed="false">
      <c r="B8" s="13" t="n">
        <v>130</v>
      </c>
      <c r="C8" s="13" t="s">
        <v>170</v>
      </c>
      <c r="D8" s="13" t="s">
        <v>31</v>
      </c>
      <c r="E8" s="22" t="s">
        <v>27</v>
      </c>
      <c r="F8" s="13" t="s">
        <v>158</v>
      </c>
      <c r="G8" s="13" t="s">
        <v>169</v>
      </c>
    </row>
    <row r="9" customFormat="false" ht="15" hidden="false" customHeight="false" outlineLevel="0" collapsed="false">
      <c r="B9" s="12" t="n">
        <v>131</v>
      </c>
      <c r="C9" s="12" t="s">
        <v>171</v>
      </c>
      <c r="D9" s="12" t="s">
        <v>32</v>
      </c>
      <c r="E9" s="22" t="s">
        <v>27</v>
      </c>
      <c r="F9" s="12" t="s">
        <v>158</v>
      </c>
      <c r="G9" s="12" t="s">
        <v>169</v>
      </c>
    </row>
    <row r="10" customFormat="false" ht="15" hidden="false" customHeight="false" outlineLevel="0" collapsed="false">
      <c r="B10" s="13" t="n">
        <v>145</v>
      </c>
      <c r="C10" s="13" t="s">
        <v>172</v>
      </c>
      <c r="D10" s="13" t="s">
        <v>34</v>
      </c>
      <c r="E10" s="13" t="s">
        <v>29</v>
      </c>
      <c r="F10" s="13" t="s">
        <v>158</v>
      </c>
      <c r="G10" s="13" t="s">
        <v>169</v>
      </c>
    </row>
    <row r="11" customFormat="false" ht="15" hidden="false" customHeight="false" outlineLevel="0" collapsed="false">
      <c r="B11" s="12" t="n">
        <v>150</v>
      </c>
      <c r="C11" s="12" t="s">
        <v>122</v>
      </c>
      <c r="D11" s="12" t="s">
        <v>38</v>
      </c>
      <c r="E11" s="22" t="s">
        <v>27</v>
      </c>
      <c r="F11" s="12" t="s">
        <v>158</v>
      </c>
      <c r="G11" s="12" t="s">
        <v>169</v>
      </c>
    </row>
    <row r="12" customFormat="false" ht="15" hidden="false" customHeight="false" outlineLevel="0" collapsed="false">
      <c r="B12" s="13" t="n">
        <v>178</v>
      </c>
      <c r="C12" s="13" t="s">
        <v>85</v>
      </c>
      <c r="D12" s="13" t="s">
        <v>37</v>
      </c>
      <c r="E12" s="13" t="s">
        <v>28</v>
      </c>
      <c r="F12" s="13" t="s">
        <v>158</v>
      </c>
      <c r="G12" s="13" t="s">
        <v>169</v>
      </c>
    </row>
    <row r="13" customFormat="false" ht="15" hidden="false" customHeight="false" outlineLevel="0" collapsed="false">
      <c r="B13" s="12" t="n">
        <v>179</v>
      </c>
      <c r="C13" s="12" t="s">
        <v>103</v>
      </c>
      <c r="D13" s="12" t="s">
        <v>35</v>
      </c>
      <c r="E13" s="12" t="s">
        <v>28</v>
      </c>
      <c r="F13" s="12" t="s">
        <v>158</v>
      </c>
      <c r="G13" s="12" t="s">
        <v>169</v>
      </c>
    </row>
    <row r="16" customFormat="false" ht="15" hidden="false" customHeight="false" outlineLevel="0" collapsed="false">
      <c r="B16" s="11" t="s">
        <v>26</v>
      </c>
      <c r="C16" s="11" t="s">
        <v>173</v>
      </c>
    </row>
    <row r="17" customFormat="false" ht="15" hidden="false" customHeight="false" outlineLevel="0" collapsed="false">
      <c r="B17" s="12" t="s">
        <v>31</v>
      </c>
      <c r="C17" s="12" t="n">
        <v>2</v>
      </c>
    </row>
    <row r="18" customFormat="false" ht="15" hidden="false" customHeight="false" outlineLevel="0" collapsed="false">
      <c r="B18" s="13" t="s">
        <v>39</v>
      </c>
      <c r="C18" s="13" t="n">
        <v>1</v>
      </c>
    </row>
    <row r="19" customFormat="false" ht="15" hidden="false" customHeight="false" outlineLevel="0" collapsed="false">
      <c r="B19" s="12" t="s">
        <v>37</v>
      </c>
      <c r="C19" s="12" t="n">
        <v>2</v>
      </c>
    </row>
    <row r="20" customFormat="false" ht="15" hidden="false" customHeight="false" outlineLevel="0" collapsed="false">
      <c r="B20" s="13" t="s">
        <v>35</v>
      </c>
      <c r="C20" s="13" t="n">
        <v>1</v>
      </c>
    </row>
    <row r="21" customFormat="false" ht="15" hidden="false" customHeight="false" outlineLevel="0" collapsed="false">
      <c r="B21" s="12" t="s">
        <v>38</v>
      </c>
      <c r="C21" s="12" t="n">
        <v>1</v>
      </c>
    </row>
    <row r="22" customFormat="false" ht="15" hidden="false" customHeight="false" outlineLevel="0" collapsed="false">
      <c r="B22" s="13" t="s">
        <v>32</v>
      </c>
      <c r="C22" s="13" t="n">
        <v>1</v>
      </c>
    </row>
    <row r="23" customFormat="false" ht="15" hidden="false" customHeight="false" outlineLevel="0" collapsed="false">
      <c r="B23" s="12" t="s">
        <v>34</v>
      </c>
      <c r="C23" s="12" t="n">
        <v>1</v>
      </c>
    </row>
    <row r="25" customFormat="false" ht="15" hidden="false" customHeight="false" outlineLevel="0" collapsed="false">
      <c r="B25" s="7" t="s">
        <v>20</v>
      </c>
    </row>
    <row r="26" customFormat="false" ht="37.3" hidden="false" customHeight="true" outlineLevel="0" collapsed="false">
      <c r="B26" s="8" t="s">
        <v>174</v>
      </c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B27" s="9" t="s">
        <v>22</v>
      </c>
    </row>
    <row r="28" customFormat="false" ht="15" hidden="false" customHeight="true" outlineLevel="0" collapsed="false">
      <c r="B28" s="10" t="s">
        <v>175</v>
      </c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B29" s="10"/>
      <c r="C29" s="10"/>
      <c r="D29" s="10"/>
      <c r="E29" s="10"/>
      <c r="F29" s="10"/>
      <c r="G29" s="10"/>
      <c r="H29" s="10"/>
    </row>
  </sheetData>
  <mergeCells count="4">
    <mergeCell ref="A1:I1"/>
    <mergeCell ref="A2:I2"/>
    <mergeCell ref="B26:H26"/>
    <mergeCell ref="B28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2026-06-02T05:35:18Z</dcterms:created>
  <dc:creator>openpyxl</dc:creator>
  <dc:description/>
  <dc:language>en-US</dc:language>
  <cp:lastModifiedBy/>
  <dcterms:modified xsi:type="dcterms:W3CDTF">2026-06-02T05:35:23Z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